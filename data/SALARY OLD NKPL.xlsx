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OFFICE 26-27\SALARY\"/>
    </mc:Choice>
  </mc:AlternateContent>
  <bookViews>
    <workbookView xWindow="0" yWindow="0" windowWidth="21600" windowHeight="9435" activeTab="3"/>
  </bookViews>
  <sheets>
    <sheet name="ACTUAL" sheetId="1" r:id="rId1"/>
    <sheet name="ACTUAL (2)" sheetId="2" r:id="rId2"/>
    <sheet name="ACTUAL (3)" sheetId="4" r:id="rId3"/>
    <sheet name="ACTUAL (4)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5" l="1"/>
  <c r="N4" i="5"/>
  <c r="J4" i="5"/>
  <c r="L38" i="5" l="1"/>
  <c r="L39" i="5"/>
  <c r="L40" i="5"/>
  <c r="L41" i="5"/>
  <c r="L42" i="5"/>
  <c r="L43" i="5"/>
  <c r="L14" i="5"/>
  <c r="L4" i="5"/>
  <c r="L5" i="5"/>
  <c r="L6" i="5"/>
  <c r="L7" i="5"/>
  <c r="L8" i="5"/>
  <c r="L9" i="5"/>
  <c r="L10" i="5"/>
  <c r="L11" i="5"/>
  <c r="L12" i="5"/>
  <c r="L3" i="5"/>
  <c r="M14" i="5"/>
  <c r="M4" i="5"/>
  <c r="M5" i="5"/>
  <c r="M6" i="5"/>
  <c r="M7" i="5"/>
  <c r="M8" i="5"/>
  <c r="M9" i="5"/>
  <c r="M10" i="5"/>
  <c r="M11" i="5"/>
  <c r="M12" i="5"/>
  <c r="M3" i="5"/>
  <c r="R14" i="5"/>
  <c r="R12" i="5"/>
  <c r="R11" i="5"/>
  <c r="R10" i="5"/>
  <c r="R9" i="5"/>
  <c r="R8" i="5"/>
  <c r="R7" i="5"/>
  <c r="R6" i="5"/>
  <c r="R5" i="5"/>
  <c r="R4" i="5"/>
  <c r="R3" i="5"/>
  <c r="L52" i="5"/>
  <c r="L49" i="5"/>
  <c r="L50" i="5"/>
  <c r="L48" i="5"/>
  <c r="S1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3" i="5"/>
  <c r="AD53" i="5" l="1"/>
  <c r="AB53" i="5"/>
  <c r="T53" i="5"/>
  <c r="H53" i="5"/>
  <c r="F53" i="5"/>
  <c r="X52" i="5"/>
  <c r="W52" i="5"/>
  <c r="R52" i="5"/>
  <c r="M52" i="5"/>
  <c r="S51" i="5"/>
  <c r="O51" i="5"/>
  <c r="Q51" i="5" s="1"/>
  <c r="M51" i="5"/>
  <c r="R51" i="5" s="1"/>
  <c r="X50" i="5"/>
  <c r="R50" i="5"/>
  <c r="M50" i="5" s="1"/>
  <c r="O50" i="5"/>
  <c r="P50" i="5" s="1"/>
  <c r="N50" i="5"/>
  <c r="AA49" i="5"/>
  <c r="W49" i="5"/>
  <c r="M49" i="5"/>
  <c r="K49" i="5"/>
  <c r="J49" i="5"/>
  <c r="X49" i="5" s="1"/>
  <c r="X48" i="5"/>
  <c r="W48" i="5"/>
  <c r="S48" i="5"/>
  <c r="M48" i="5"/>
  <c r="O48" i="5"/>
  <c r="O47" i="5"/>
  <c r="X47" i="5" s="1"/>
  <c r="M47" i="5"/>
  <c r="Q46" i="5"/>
  <c r="O46" i="5"/>
  <c r="P46" i="5" s="1"/>
  <c r="M46" i="5"/>
  <c r="S46" i="5" s="1"/>
  <c r="O45" i="5"/>
  <c r="Q45" i="5" s="1"/>
  <c r="M45" i="5"/>
  <c r="R45" i="5" s="1"/>
  <c r="O44" i="5"/>
  <c r="P44" i="5" s="1"/>
  <c r="V44" i="5" s="1"/>
  <c r="W44" i="5" s="1"/>
  <c r="M44" i="5"/>
  <c r="S44" i="5" s="1"/>
  <c r="W43" i="5"/>
  <c r="S43" i="5"/>
  <c r="M43" i="5"/>
  <c r="K43" i="5"/>
  <c r="O43" i="5" s="1"/>
  <c r="J43" i="5"/>
  <c r="X43" i="5" s="1"/>
  <c r="X42" i="5"/>
  <c r="W42" i="5"/>
  <c r="S42" i="5"/>
  <c r="O42" i="5"/>
  <c r="M42" i="5"/>
  <c r="X41" i="5"/>
  <c r="M41" i="5"/>
  <c r="O41" i="5"/>
  <c r="X40" i="5"/>
  <c r="M40" i="5"/>
  <c r="O40" i="5"/>
  <c r="P40" i="5" s="1"/>
  <c r="X39" i="5"/>
  <c r="M39" i="5"/>
  <c r="O39" i="5"/>
  <c r="P39" i="5" s="1"/>
  <c r="W38" i="5"/>
  <c r="K38" i="5"/>
  <c r="J38" i="5"/>
  <c r="X38" i="5" s="1"/>
  <c r="O37" i="5"/>
  <c r="X37" i="5" s="1"/>
  <c r="M37" i="5"/>
  <c r="S37" i="5" s="1"/>
  <c r="R36" i="5"/>
  <c r="O36" i="5"/>
  <c r="M36" i="5"/>
  <c r="S36" i="5" s="1"/>
  <c r="O35" i="5"/>
  <c r="X35" i="5" s="1"/>
  <c r="M35" i="5"/>
  <c r="S35" i="5" s="1"/>
  <c r="O34" i="5"/>
  <c r="M34" i="5"/>
  <c r="S34" i="5" s="1"/>
  <c r="O33" i="5"/>
  <c r="X33" i="5" s="1"/>
  <c r="M33" i="5"/>
  <c r="S33" i="5" s="1"/>
  <c r="S32" i="5"/>
  <c r="O32" i="5"/>
  <c r="X32" i="5" s="1"/>
  <c r="M32" i="5"/>
  <c r="R32" i="5" s="1"/>
  <c r="R31" i="5"/>
  <c r="O31" i="5"/>
  <c r="M31" i="5"/>
  <c r="S31" i="5" s="1"/>
  <c r="O30" i="5"/>
  <c r="X30" i="5" s="1"/>
  <c r="M30" i="5"/>
  <c r="S30" i="5" s="1"/>
  <c r="O29" i="5"/>
  <c r="M29" i="5"/>
  <c r="S29" i="5" s="1"/>
  <c r="O28" i="5"/>
  <c r="X28" i="5" s="1"/>
  <c r="M28" i="5"/>
  <c r="S28" i="5" s="1"/>
  <c r="S27" i="5"/>
  <c r="O27" i="5"/>
  <c r="X27" i="5" s="1"/>
  <c r="M27" i="5"/>
  <c r="R27" i="5" s="1"/>
  <c r="O26" i="5"/>
  <c r="P26" i="5" s="1"/>
  <c r="M26" i="5"/>
  <c r="S26" i="5" s="1"/>
  <c r="O25" i="5"/>
  <c r="Q25" i="5" s="1"/>
  <c r="M25" i="5"/>
  <c r="R25" i="5" s="1"/>
  <c r="O24" i="5"/>
  <c r="M24" i="5"/>
  <c r="S24" i="5" s="1"/>
  <c r="O23" i="5"/>
  <c r="X23" i="5" s="1"/>
  <c r="M23" i="5"/>
  <c r="S23" i="5" s="1"/>
  <c r="O22" i="5"/>
  <c r="M22" i="5"/>
  <c r="R22" i="5" s="1"/>
  <c r="S21" i="5"/>
  <c r="R21" i="5"/>
  <c r="O21" i="5"/>
  <c r="Q21" i="5" s="1"/>
  <c r="S20" i="5"/>
  <c r="R20" i="5"/>
  <c r="Q20" i="5"/>
  <c r="O20" i="5"/>
  <c r="X20" i="5" s="1"/>
  <c r="S19" i="5"/>
  <c r="R19" i="5"/>
  <c r="O19" i="5"/>
  <c r="X19" i="5" s="1"/>
  <c r="R18" i="5"/>
  <c r="O18" i="5"/>
  <c r="Q18" i="5" s="1"/>
  <c r="M18" i="5"/>
  <c r="S17" i="5"/>
  <c r="R17" i="5"/>
  <c r="O17" i="5"/>
  <c r="P17" i="5" s="1"/>
  <c r="S16" i="5"/>
  <c r="R16" i="5"/>
  <c r="O16" i="5"/>
  <c r="S15" i="5"/>
  <c r="R15" i="5"/>
  <c r="O15" i="5"/>
  <c r="Q15" i="5" s="1"/>
  <c r="K14" i="5"/>
  <c r="O13" i="5"/>
  <c r="P13" i="5" s="1"/>
  <c r="V13" i="5" s="1"/>
  <c r="W13" i="5" s="1"/>
  <c r="M13" i="5"/>
  <c r="S13" i="5" s="1"/>
  <c r="N12" i="5"/>
  <c r="K12" i="5"/>
  <c r="N11" i="5"/>
  <c r="K11" i="5"/>
  <c r="S11" i="5" s="1"/>
  <c r="N10" i="5"/>
  <c r="O10" i="5"/>
  <c r="X9" i="5"/>
  <c r="W9" i="5"/>
  <c r="O9" i="5"/>
  <c r="N9" i="5"/>
  <c r="S9" i="5" s="1"/>
  <c r="J9" i="5"/>
  <c r="X8" i="5"/>
  <c r="W8" i="5"/>
  <c r="O8" i="5"/>
  <c r="P8" i="5" s="1"/>
  <c r="N7" i="5"/>
  <c r="S7" i="5"/>
  <c r="K7" i="5"/>
  <c r="W6" i="5"/>
  <c r="N6" i="5"/>
  <c r="K6" i="5"/>
  <c r="N5" i="5"/>
  <c r="K5" i="5"/>
  <c r="O5" i="5" s="1"/>
  <c r="Q5" i="5" s="1"/>
  <c r="K4" i="5"/>
  <c r="X3" i="5"/>
  <c r="W3" i="5"/>
  <c r="N3" i="5"/>
  <c r="S3" i="5"/>
  <c r="Q40" i="5" l="1"/>
  <c r="P35" i="5"/>
  <c r="Q30" i="5"/>
  <c r="Q35" i="5"/>
  <c r="P37" i="5"/>
  <c r="V37" i="5" s="1"/>
  <c r="W37" i="5" s="1"/>
  <c r="Q19" i="5"/>
  <c r="X25" i="5"/>
  <c r="Q26" i="5"/>
  <c r="Q37" i="5"/>
  <c r="P51" i="5"/>
  <c r="V51" i="5" s="1"/>
  <c r="W51" i="5" s="1"/>
  <c r="Q17" i="5"/>
  <c r="U17" i="5" s="1"/>
  <c r="P23" i="5"/>
  <c r="V23" i="5" s="1"/>
  <c r="W23" i="5" s="1"/>
  <c r="P28" i="5"/>
  <c r="V28" i="5" s="1"/>
  <c r="W28" i="5" s="1"/>
  <c r="P33" i="5"/>
  <c r="V33" i="5" s="1"/>
  <c r="W33" i="5" s="1"/>
  <c r="Q44" i="5"/>
  <c r="U44" i="5" s="1"/>
  <c r="S8" i="5"/>
  <c r="U8" i="5" s="1"/>
  <c r="S10" i="5"/>
  <c r="O11" i="5"/>
  <c r="X11" i="5" s="1"/>
  <c r="Q13" i="5"/>
  <c r="X15" i="5"/>
  <c r="Q23" i="5"/>
  <c r="R24" i="5"/>
  <c r="Q28" i="5"/>
  <c r="R29" i="5"/>
  <c r="Q33" i="5"/>
  <c r="R34" i="5"/>
  <c r="S40" i="5"/>
  <c r="R44" i="5"/>
  <c r="S45" i="5"/>
  <c r="Q50" i="5"/>
  <c r="U51" i="5"/>
  <c r="S5" i="5"/>
  <c r="P15" i="5"/>
  <c r="V15" i="5" s="1"/>
  <c r="W15" i="5" s="1"/>
  <c r="P19" i="5"/>
  <c r="V19" i="5" s="1"/>
  <c r="W19" i="5" s="1"/>
  <c r="P20" i="5"/>
  <c r="V20" i="5" s="1"/>
  <c r="W20" i="5" s="1"/>
  <c r="S25" i="5"/>
  <c r="P30" i="5"/>
  <c r="V30" i="5" s="1"/>
  <c r="W30" i="5" s="1"/>
  <c r="Q39" i="5"/>
  <c r="S41" i="5"/>
  <c r="U41" i="5" s="1"/>
  <c r="Y41" i="5" s="1"/>
  <c r="X45" i="5"/>
  <c r="S50" i="5"/>
  <c r="S39" i="5"/>
  <c r="Q10" i="5"/>
  <c r="X10" i="5"/>
  <c r="P10" i="5"/>
  <c r="S6" i="5"/>
  <c r="O6" i="5"/>
  <c r="Z51" i="5"/>
  <c r="Q9" i="5"/>
  <c r="P9" i="5"/>
  <c r="U9" i="5" s="1"/>
  <c r="V26" i="5"/>
  <c r="W26" i="5" s="1"/>
  <c r="Q31" i="5"/>
  <c r="P31" i="5"/>
  <c r="Q36" i="5"/>
  <c r="P36" i="5"/>
  <c r="V46" i="5"/>
  <c r="W46" i="5" s="1"/>
  <c r="S12" i="5"/>
  <c r="O12" i="5"/>
  <c r="P18" i="5"/>
  <c r="X18" i="5"/>
  <c r="O38" i="5"/>
  <c r="S47" i="5"/>
  <c r="R47" i="5"/>
  <c r="S49" i="5"/>
  <c r="O49" i="5"/>
  <c r="P5" i="5"/>
  <c r="X5" i="5"/>
  <c r="O7" i="5"/>
  <c r="S14" i="5"/>
  <c r="O14" i="5"/>
  <c r="V17" i="5"/>
  <c r="W17" i="5" s="1"/>
  <c r="P21" i="5"/>
  <c r="X21" i="5"/>
  <c r="P25" i="5"/>
  <c r="Q27" i="5"/>
  <c r="P27" i="5"/>
  <c r="X31" i="5"/>
  <c r="Q32" i="5"/>
  <c r="P32" i="5"/>
  <c r="V35" i="5"/>
  <c r="W35" i="5" s="1"/>
  <c r="X36" i="5"/>
  <c r="Q43" i="5"/>
  <c r="P43" i="5"/>
  <c r="P45" i="5"/>
  <c r="Q47" i="5"/>
  <c r="P47" i="5"/>
  <c r="V50" i="5"/>
  <c r="W50" i="5" s="1"/>
  <c r="O52" i="5"/>
  <c r="P52" i="5" s="1"/>
  <c r="S52" i="5"/>
  <c r="L53" i="5"/>
  <c r="O3" i="5"/>
  <c r="O4" i="5"/>
  <c r="R13" i="5"/>
  <c r="Q16" i="5"/>
  <c r="P16" i="5"/>
  <c r="X16" i="5"/>
  <c r="S22" i="5"/>
  <c r="Q42" i="5"/>
  <c r="P42" i="5"/>
  <c r="X13" i="5"/>
  <c r="X17" i="5"/>
  <c r="Q22" i="5"/>
  <c r="P22" i="5"/>
  <c r="X22" i="5"/>
  <c r="R26" i="5"/>
  <c r="R46" i="5"/>
  <c r="U46" i="5" s="1"/>
  <c r="X51" i="5"/>
  <c r="Q24" i="5"/>
  <c r="P24" i="5"/>
  <c r="X24" i="5"/>
  <c r="Q29" i="5"/>
  <c r="P29" i="5"/>
  <c r="X29" i="5"/>
  <c r="Q34" i="5"/>
  <c r="P34" i="5"/>
  <c r="X34" i="5"/>
  <c r="Q48" i="5"/>
  <c r="P48" i="5"/>
  <c r="R23" i="5"/>
  <c r="X26" i="5"/>
  <c r="R28" i="5"/>
  <c r="R30" i="5"/>
  <c r="U30" i="5" s="1"/>
  <c r="R33" i="5"/>
  <c r="R35" i="5"/>
  <c r="R37" i="5"/>
  <c r="X44" i="5"/>
  <c r="X46" i="5"/>
  <c r="S18" i="4"/>
  <c r="R18" i="4"/>
  <c r="M18" i="4"/>
  <c r="U40" i="5" l="1"/>
  <c r="Z40" i="5" s="1"/>
  <c r="AA40" i="5" s="1"/>
  <c r="U35" i="5"/>
  <c r="U20" i="5"/>
  <c r="U23" i="5"/>
  <c r="AE51" i="5"/>
  <c r="U13" i="5"/>
  <c r="U26" i="5"/>
  <c r="Z41" i="5"/>
  <c r="AE41" i="5" s="1"/>
  <c r="U39" i="5"/>
  <c r="Z39" i="5" s="1"/>
  <c r="AE39" i="5" s="1"/>
  <c r="U37" i="5"/>
  <c r="Z37" i="5" s="1"/>
  <c r="AE37" i="5" s="1"/>
  <c r="Y51" i="5"/>
  <c r="U28" i="5"/>
  <c r="Y28" i="5" s="1"/>
  <c r="U15" i="5"/>
  <c r="Y15" i="5" s="1"/>
  <c r="U50" i="5"/>
  <c r="Z50" i="5" s="1"/>
  <c r="AE50" i="5" s="1"/>
  <c r="U42" i="5"/>
  <c r="Z42" i="5" s="1"/>
  <c r="AA42" i="5" s="1"/>
  <c r="P11" i="5"/>
  <c r="Q11" i="5"/>
  <c r="U19" i="5"/>
  <c r="U43" i="5"/>
  <c r="Z43" i="5" s="1"/>
  <c r="AA43" i="5" s="1"/>
  <c r="U33" i="5"/>
  <c r="Y33" i="5" s="1"/>
  <c r="Y46" i="5"/>
  <c r="Z46" i="5"/>
  <c r="AA46" i="5" s="1"/>
  <c r="V45" i="5"/>
  <c r="W45" i="5" s="1"/>
  <c r="U45" i="5"/>
  <c r="Y35" i="5"/>
  <c r="Z35" i="5"/>
  <c r="AE35" i="5" s="1"/>
  <c r="Q38" i="5"/>
  <c r="P38" i="5"/>
  <c r="Y26" i="5"/>
  <c r="Z26" i="5"/>
  <c r="AE26" i="5" s="1"/>
  <c r="X6" i="5"/>
  <c r="P6" i="5"/>
  <c r="U6" i="5" s="1"/>
  <c r="Y44" i="5"/>
  <c r="Z44" i="5"/>
  <c r="AE44" i="5" s="1"/>
  <c r="Y40" i="5"/>
  <c r="X12" i="5"/>
  <c r="Q12" i="5"/>
  <c r="P12" i="5"/>
  <c r="Z9" i="5"/>
  <c r="AE9" i="5" s="1"/>
  <c r="Y9" i="5"/>
  <c r="V47" i="5"/>
  <c r="W47" i="5" s="1"/>
  <c r="U47" i="5"/>
  <c r="V32" i="5"/>
  <c r="W32" i="5" s="1"/>
  <c r="U32" i="5"/>
  <c r="Y17" i="5"/>
  <c r="Z17" i="5"/>
  <c r="AE17" i="5" s="1"/>
  <c r="Y19" i="5"/>
  <c r="Z19" i="5"/>
  <c r="AE19" i="5" s="1"/>
  <c r="Q49" i="5"/>
  <c r="P49" i="5"/>
  <c r="U49" i="5" s="1"/>
  <c r="Y49" i="5" s="1"/>
  <c r="AE49" i="5" s="1"/>
  <c r="Y13" i="5"/>
  <c r="Z13" i="5"/>
  <c r="AE13" i="5" s="1"/>
  <c r="Y23" i="5"/>
  <c r="Z23" i="5"/>
  <c r="AE23" i="5" s="1"/>
  <c r="V24" i="5"/>
  <c r="W24" i="5" s="1"/>
  <c r="U24" i="5"/>
  <c r="V22" i="5"/>
  <c r="W22" i="5" s="1"/>
  <c r="U22" i="5"/>
  <c r="Z15" i="5"/>
  <c r="AE15" i="5" s="1"/>
  <c r="O53" i="5"/>
  <c r="P3" i="5"/>
  <c r="Y50" i="5"/>
  <c r="Y30" i="5"/>
  <c r="Z30" i="5"/>
  <c r="AE30" i="5" s="1"/>
  <c r="V25" i="5"/>
  <c r="W25" i="5" s="1"/>
  <c r="U25" i="5"/>
  <c r="Q7" i="5"/>
  <c r="X7" i="5"/>
  <c r="P7" i="5"/>
  <c r="V31" i="5"/>
  <c r="W31" i="5" s="1"/>
  <c r="U31" i="5"/>
  <c r="V10" i="5"/>
  <c r="W10" i="5" s="1"/>
  <c r="U10" i="5"/>
  <c r="V29" i="5"/>
  <c r="W29" i="5" s="1"/>
  <c r="U29" i="5"/>
  <c r="Z20" i="5"/>
  <c r="AE20" i="5" s="1"/>
  <c r="Y20" i="5"/>
  <c r="U48" i="5"/>
  <c r="V34" i="5"/>
  <c r="W34" i="5" s="1"/>
  <c r="U34" i="5"/>
  <c r="V16" i="5"/>
  <c r="W16" i="5" s="1"/>
  <c r="U16" i="5"/>
  <c r="X4" i="5"/>
  <c r="Q4" i="5"/>
  <c r="P4" i="5"/>
  <c r="V11" i="5"/>
  <c r="W11" i="5" s="1"/>
  <c r="U52" i="5"/>
  <c r="V27" i="5"/>
  <c r="W27" i="5" s="1"/>
  <c r="U27" i="5"/>
  <c r="V21" i="5"/>
  <c r="W21" i="5" s="1"/>
  <c r="U21" i="5"/>
  <c r="P14" i="5"/>
  <c r="X14" i="5"/>
  <c r="Q14" i="5"/>
  <c r="V5" i="5"/>
  <c r="W5" i="5" s="1"/>
  <c r="U5" i="5"/>
  <c r="V18" i="5"/>
  <c r="W18" i="5" s="1"/>
  <c r="U18" i="5"/>
  <c r="Z8" i="5"/>
  <c r="AE8" i="5" s="1"/>
  <c r="Y8" i="5"/>
  <c r="V36" i="5"/>
  <c r="W36" i="5" s="1"/>
  <c r="U36" i="5"/>
  <c r="X6" i="4"/>
  <c r="W6" i="4"/>
  <c r="Y39" i="5" l="1"/>
  <c r="Y37" i="5"/>
  <c r="Y42" i="5"/>
  <c r="Y43" i="5"/>
  <c r="Z28" i="5"/>
  <c r="AE28" i="5" s="1"/>
  <c r="AE43" i="5"/>
  <c r="U11" i="5"/>
  <c r="Z11" i="5" s="1"/>
  <c r="AE11" i="5" s="1"/>
  <c r="AF11" i="5" s="1"/>
  <c r="AE46" i="5"/>
  <c r="Z33" i="5"/>
  <c r="AE33" i="5" s="1"/>
  <c r="Z34" i="5"/>
  <c r="AE34" i="5" s="1"/>
  <c r="Y34" i="5"/>
  <c r="Z5" i="5"/>
  <c r="AE5" i="5" s="1"/>
  <c r="Y5" i="5"/>
  <c r="U14" i="5"/>
  <c r="V14" i="5"/>
  <c r="W14" i="5" s="1"/>
  <c r="U4" i="5"/>
  <c r="V4" i="5"/>
  <c r="Z10" i="5"/>
  <c r="AE10" i="5" s="1"/>
  <c r="Y10" i="5"/>
  <c r="V7" i="5"/>
  <c r="W7" i="5" s="1"/>
  <c r="U7" i="5"/>
  <c r="Z22" i="5"/>
  <c r="AE22" i="5" s="1"/>
  <c r="Y22" i="5"/>
  <c r="Z47" i="5"/>
  <c r="AA47" i="5" s="1"/>
  <c r="Y47" i="5"/>
  <c r="Z36" i="5"/>
  <c r="AE36" i="5" s="1"/>
  <c r="Y36" i="5"/>
  <c r="Z21" i="5"/>
  <c r="AE21" i="5" s="1"/>
  <c r="Y21" i="5"/>
  <c r="Z52" i="5"/>
  <c r="AE52" i="5" s="1"/>
  <c r="Y52" i="5"/>
  <c r="Q53" i="5"/>
  <c r="AE42" i="5"/>
  <c r="Z45" i="5"/>
  <c r="AE45" i="5" s="1"/>
  <c r="Y45" i="5"/>
  <c r="Z18" i="5"/>
  <c r="AA18" i="5" s="1"/>
  <c r="Y18" i="5"/>
  <c r="X53" i="5"/>
  <c r="Z29" i="5"/>
  <c r="AE29" i="5" s="1"/>
  <c r="Y29" i="5"/>
  <c r="Z31" i="5"/>
  <c r="AA31" i="5" s="1"/>
  <c r="Y31" i="5"/>
  <c r="Z24" i="5"/>
  <c r="AA24" i="5" s="1"/>
  <c r="Y24" i="5"/>
  <c r="Z32" i="5"/>
  <c r="AA32" i="5" s="1"/>
  <c r="Y32" i="5"/>
  <c r="Z27" i="5"/>
  <c r="AA27" i="5" s="1"/>
  <c r="Y27" i="5"/>
  <c r="Z16" i="5"/>
  <c r="AE16" i="5" s="1"/>
  <c r="Y16" i="5"/>
  <c r="Z48" i="5"/>
  <c r="AE48" i="5" s="1"/>
  <c r="Y48" i="5"/>
  <c r="Z25" i="5"/>
  <c r="AE25" i="5" s="1"/>
  <c r="Y25" i="5"/>
  <c r="P53" i="5"/>
  <c r="U3" i="5"/>
  <c r="U12" i="5"/>
  <c r="V12" i="5"/>
  <c r="W12" i="5" s="1"/>
  <c r="AE40" i="5"/>
  <c r="Y6" i="5"/>
  <c r="Z6" i="5"/>
  <c r="AA6" i="5" s="1"/>
  <c r="W8" i="4"/>
  <c r="R8" i="4"/>
  <c r="Y11" i="5" l="1"/>
  <c r="AE32" i="5"/>
  <c r="AE31" i="5"/>
  <c r="AE27" i="5"/>
  <c r="AE6" i="5"/>
  <c r="AE18" i="5"/>
  <c r="Y12" i="5"/>
  <c r="Z12" i="5"/>
  <c r="AA12" i="5" s="1"/>
  <c r="Z7" i="5"/>
  <c r="AE7" i="5" s="1"/>
  <c r="Y7" i="5"/>
  <c r="AE24" i="5"/>
  <c r="V53" i="5"/>
  <c r="W4" i="5"/>
  <c r="W53" i="5" s="1"/>
  <c r="Z3" i="5"/>
  <c r="Y3" i="5"/>
  <c r="Y14" i="5"/>
  <c r="Z14" i="5"/>
  <c r="AA14" i="5" s="1"/>
  <c r="AE47" i="5"/>
  <c r="Z4" i="5"/>
  <c r="R10" i="4"/>
  <c r="Y4" i="5" l="1"/>
  <c r="AE14" i="5"/>
  <c r="AE4" i="5"/>
  <c r="AE3" i="5"/>
  <c r="AE12" i="5"/>
  <c r="L3" i="4"/>
  <c r="N10" i="4" l="1"/>
  <c r="G4" i="4" l="1"/>
  <c r="G5" i="4"/>
  <c r="G7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3" i="4"/>
  <c r="R52" i="4" l="1"/>
  <c r="R50" i="4"/>
  <c r="M50" i="4" s="1"/>
  <c r="R14" i="4"/>
  <c r="R12" i="4"/>
  <c r="R11" i="4"/>
  <c r="R9" i="4"/>
  <c r="R7" i="4"/>
  <c r="R6" i="4"/>
  <c r="R5" i="4"/>
  <c r="R4" i="4"/>
  <c r="R3" i="4"/>
  <c r="M52" i="4"/>
  <c r="M14" i="4"/>
  <c r="L52" i="4"/>
  <c r="O52" i="4" s="1"/>
  <c r="P52" i="4" s="1"/>
  <c r="L50" i="4"/>
  <c r="L48" i="4"/>
  <c r="O48" i="4" s="1"/>
  <c r="Q48" i="4" s="1"/>
  <c r="L39" i="4"/>
  <c r="O39" i="4" s="1"/>
  <c r="L40" i="4"/>
  <c r="L41" i="4"/>
  <c r="L42" i="4"/>
  <c r="O42" i="4" s="1"/>
  <c r="Q42" i="4" s="1"/>
  <c r="L9" i="4"/>
  <c r="L10" i="4"/>
  <c r="O3" i="4"/>
  <c r="AD53" i="4"/>
  <c r="AB53" i="4"/>
  <c r="T53" i="4"/>
  <c r="H53" i="4"/>
  <c r="F53" i="4"/>
  <c r="X52" i="4"/>
  <c r="W52" i="4"/>
  <c r="O51" i="4"/>
  <c r="Q51" i="4" s="1"/>
  <c r="M51" i="4"/>
  <c r="R51" i="4" s="1"/>
  <c r="X50" i="4"/>
  <c r="N50" i="4"/>
  <c r="AA49" i="4"/>
  <c r="W49" i="4"/>
  <c r="M49" i="4"/>
  <c r="K49" i="4"/>
  <c r="L49" i="4" s="1"/>
  <c r="J49" i="4"/>
  <c r="X49" i="4" s="1"/>
  <c r="X48" i="4"/>
  <c r="W48" i="4"/>
  <c r="M48" i="4"/>
  <c r="O47" i="4"/>
  <c r="Q47" i="4" s="1"/>
  <c r="M47" i="4"/>
  <c r="R47" i="4" s="1"/>
  <c r="O46" i="4"/>
  <c r="M46" i="4"/>
  <c r="S46" i="4" s="1"/>
  <c r="O45" i="4"/>
  <c r="X45" i="4" s="1"/>
  <c r="M45" i="4"/>
  <c r="R45" i="4" s="1"/>
  <c r="O44" i="4"/>
  <c r="M44" i="4"/>
  <c r="S44" i="4" s="1"/>
  <c r="W43" i="4"/>
  <c r="M43" i="4"/>
  <c r="K43" i="4"/>
  <c r="L43" i="4" s="1"/>
  <c r="O43" i="4" s="1"/>
  <c r="Q43" i="4" s="1"/>
  <c r="J43" i="4"/>
  <c r="X43" i="4" s="1"/>
  <c r="X42" i="4"/>
  <c r="W42" i="4"/>
  <c r="M42" i="4"/>
  <c r="X41" i="4"/>
  <c r="M41" i="4"/>
  <c r="X40" i="4"/>
  <c r="M40" i="4"/>
  <c r="X39" i="4"/>
  <c r="M39" i="4"/>
  <c r="S39" i="4" s="1"/>
  <c r="W38" i="4"/>
  <c r="K38" i="4"/>
  <c r="L38" i="4" s="1"/>
  <c r="J38" i="4"/>
  <c r="X38" i="4" s="1"/>
  <c r="O37" i="4"/>
  <c r="X37" i="4" s="1"/>
  <c r="M37" i="4"/>
  <c r="S37" i="4" s="1"/>
  <c r="O36" i="4"/>
  <c r="X36" i="4" s="1"/>
  <c r="M36" i="4"/>
  <c r="S36" i="4" s="1"/>
  <c r="O35" i="4"/>
  <c r="Q35" i="4" s="1"/>
  <c r="M35" i="4"/>
  <c r="R35" i="4" s="1"/>
  <c r="O34" i="4"/>
  <c r="X34" i="4" s="1"/>
  <c r="M34" i="4"/>
  <c r="S34" i="4" s="1"/>
  <c r="O33" i="4"/>
  <c r="Q33" i="4" s="1"/>
  <c r="M33" i="4"/>
  <c r="R33" i="4" s="1"/>
  <c r="O32" i="4"/>
  <c r="M32" i="4"/>
  <c r="S32" i="4" s="1"/>
  <c r="O31" i="4"/>
  <c r="X31" i="4" s="1"/>
  <c r="M31" i="4"/>
  <c r="S31" i="4" s="1"/>
  <c r="O30" i="4"/>
  <c r="Q30" i="4" s="1"/>
  <c r="M30" i="4"/>
  <c r="R30" i="4" s="1"/>
  <c r="O29" i="4"/>
  <c r="X29" i="4" s="1"/>
  <c r="M29" i="4"/>
  <c r="S29" i="4" s="1"/>
  <c r="O28" i="4"/>
  <c r="Q28" i="4" s="1"/>
  <c r="M28" i="4"/>
  <c r="R28" i="4" s="1"/>
  <c r="O27" i="4"/>
  <c r="M27" i="4"/>
  <c r="R27" i="4" s="1"/>
  <c r="O26" i="4"/>
  <c r="X26" i="4" s="1"/>
  <c r="M26" i="4"/>
  <c r="R26" i="4" s="1"/>
  <c r="O25" i="4"/>
  <c r="P25" i="4" s="1"/>
  <c r="M25" i="4"/>
  <c r="R25" i="4" s="1"/>
  <c r="O24" i="4"/>
  <c r="X24" i="4" s="1"/>
  <c r="M24" i="4"/>
  <c r="S24" i="4" s="1"/>
  <c r="O23" i="4"/>
  <c r="Q23" i="4" s="1"/>
  <c r="M23" i="4"/>
  <c r="R23" i="4" s="1"/>
  <c r="O22" i="4"/>
  <c r="X22" i="4" s="1"/>
  <c r="M22" i="4"/>
  <c r="S22" i="4" s="1"/>
  <c r="S21" i="4"/>
  <c r="R21" i="4"/>
  <c r="O21" i="4"/>
  <c r="Q21" i="4" s="1"/>
  <c r="S20" i="4"/>
  <c r="R20" i="4"/>
  <c r="O20" i="4"/>
  <c r="Q20" i="4" s="1"/>
  <c r="S19" i="4"/>
  <c r="R19" i="4"/>
  <c r="O19" i="4"/>
  <c r="X19" i="4" s="1"/>
  <c r="O18" i="4"/>
  <c r="S17" i="4"/>
  <c r="R17" i="4"/>
  <c r="O17" i="4"/>
  <c r="Q17" i="4" s="1"/>
  <c r="S16" i="4"/>
  <c r="R16" i="4"/>
  <c r="O16" i="4"/>
  <c r="X16" i="4" s="1"/>
  <c r="S15" i="4"/>
  <c r="R15" i="4"/>
  <c r="O15" i="4"/>
  <c r="P15" i="4" s="1"/>
  <c r="K14" i="4"/>
  <c r="L14" i="4" s="1"/>
  <c r="O13" i="4"/>
  <c r="M13" i="4"/>
  <c r="R13" i="4" s="1"/>
  <c r="N12" i="4"/>
  <c r="M12" i="4" s="1"/>
  <c r="K12" i="4"/>
  <c r="L12" i="4" s="1"/>
  <c r="O12" i="4" s="1"/>
  <c r="N11" i="4"/>
  <c r="M11" i="4" s="1"/>
  <c r="K11" i="4"/>
  <c r="L11" i="4" s="1"/>
  <c r="M10" i="4"/>
  <c r="W9" i="4"/>
  <c r="N9" i="4"/>
  <c r="M9" i="4" s="1"/>
  <c r="J9" i="4"/>
  <c r="X9" i="4" s="1"/>
  <c r="M8" i="4"/>
  <c r="L8" i="4"/>
  <c r="O8" i="4" s="1"/>
  <c r="P8" i="4" s="1"/>
  <c r="N7" i="4"/>
  <c r="M7" i="4" s="1"/>
  <c r="K7" i="4"/>
  <c r="L7" i="4" s="1"/>
  <c r="O7" i="4" s="1"/>
  <c r="N6" i="4"/>
  <c r="M6" i="4" s="1"/>
  <c r="K6" i="4"/>
  <c r="L6" i="4" s="1"/>
  <c r="O6" i="4" s="1"/>
  <c r="P6" i="4" s="1"/>
  <c r="N5" i="4"/>
  <c r="M5" i="4" s="1"/>
  <c r="K5" i="4"/>
  <c r="L5" i="4" s="1"/>
  <c r="N4" i="4"/>
  <c r="M4" i="4" s="1"/>
  <c r="K4" i="4"/>
  <c r="L4" i="4" s="1"/>
  <c r="X3" i="4"/>
  <c r="W3" i="4"/>
  <c r="N3" i="4"/>
  <c r="M3" i="4" s="1"/>
  <c r="S40" i="4" l="1"/>
  <c r="S23" i="4"/>
  <c r="R32" i="4"/>
  <c r="S27" i="4"/>
  <c r="R46" i="4"/>
  <c r="Q36" i="4"/>
  <c r="Q26" i="4"/>
  <c r="P31" i="4"/>
  <c r="V31" i="4" s="1"/>
  <c r="W31" i="4" s="1"/>
  <c r="S28" i="4"/>
  <c r="S35" i="4"/>
  <c r="P19" i="4"/>
  <c r="V19" i="4" s="1"/>
  <c r="W19" i="4" s="1"/>
  <c r="P28" i="4"/>
  <c r="V28" i="4" s="1"/>
  <c r="W28" i="4" s="1"/>
  <c r="Q31" i="4"/>
  <c r="P34" i="4"/>
  <c r="V34" i="4" s="1"/>
  <c r="W34" i="4" s="1"/>
  <c r="O40" i="4"/>
  <c r="P40" i="4" s="1"/>
  <c r="S13" i="4"/>
  <c r="S25" i="4"/>
  <c r="S33" i="4"/>
  <c r="S47" i="4"/>
  <c r="S45" i="4"/>
  <c r="S8" i="4"/>
  <c r="U8" i="4" s="1"/>
  <c r="Q34" i="4"/>
  <c r="S26" i="4"/>
  <c r="S30" i="4"/>
  <c r="S51" i="4"/>
  <c r="S12" i="4"/>
  <c r="Q24" i="4"/>
  <c r="P16" i="4"/>
  <c r="V16" i="4" s="1"/>
  <c r="W16" i="4" s="1"/>
  <c r="S43" i="4"/>
  <c r="P45" i="4"/>
  <c r="V45" i="4" s="1"/>
  <c r="W45" i="4" s="1"/>
  <c r="Q37" i="4"/>
  <c r="Q45" i="4"/>
  <c r="S48" i="4"/>
  <c r="S42" i="4"/>
  <c r="S7" i="4"/>
  <c r="S50" i="4"/>
  <c r="Q16" i="4"/>
  <c r="Q19" i="4"/>
  <c r="P22" i="4"/>
  <c r="V22" i="4" s="1"/>
  <c r="W22" i="4" s="1"/>
  <c r="P29" i="4"/>
  <c r="V29" i="4" s="1"/>
  <c r="W29" i="4" s="1"/>
  <c r="Q22" i="4"/>
  <c r="Q29" i="4"/>
  <c r="Q15" i="4"/>
  <c r="U15" i="4" s="1"/>
  <c r="P17" i="4"/>
  <c r="V17" i="4" s="1"/>
  <c r="W17" i="4" s="1"/>
  <c r="P20" i="4"/>
  <c r="V20" i="4" s="1"/>
  <c r="W20" i="4" s="1"/>
  <c r="P24" i="4"/>
  <c r="V24" i="4" s="1"/>
  <c r="W24" i="4" s="1"/>
  <c r="P26" i="4"/>
  <c r="V26" i="4" s="1"/>
  <c r="W26" i="4" s="1"/>
  <c r="P33" i="4"/>
  <c r="V33" i="4" s="1"/>
  <c r="W33" i="4" s="1"/>
  <c r="P36" i="4"/>
  <c r="V36" i="4" s="1"/>
  <c r="W36" i="4" s="1"/>
  <c r="P37" i="4"/>
  <c r="V37" i="4" s="1"/>
  <c r="W37" i="4" s="1"/>
  <c r="S4" i="4"/>
  <c r="O4" i="4"/>
  <c r="S5" i="4"/>
  <c r="Q7" i="4"/>
  <c r="X7" i="4"/>
  <c r="P7" i="4"/>
  <c r="P3" i="4"/>
  <c r="S10" i="4"/>
  <c r="Q13" i="4"/>
  <c r="X13" i="4"/>
  <c r="S3" i="4"/>
  <c r="O5" i="4"/>
  <c r="S9" i="4"/>
  <c r="O9" i="4"/>
  <c r="P13" i="4"/>
  <c r="V15" i="4"/>
  <c r="W15" i="4" s="1"/>
  <c r="L53" i="4"/>
  <c r="S11" i="4"/>
  <c r="O11" i="4"/>
  <c r="S14" i="4"/>
  <c r="O14" i="4"/>
  <c r="S6" i="4"/>
  <c r="U6" i="4" s="1"/>
  <c r="X8" i="4"/>
  <c r="Q12" i="4"/>
  <c r="P12" i="4"/>
  <c r="X12" i="4"/>
  <c r="Q18" i="4"/>
  <c r="P18" i="4"/>
  <c r="X18" i="4"/>
  <c r="X17" i="4"/>
  <c r="X20" i="4"/>
  <c r="X23" i="4"/>
  <c r="R24" i="4"/>
  <c r="R31" i="4"/>
  <c r="U31" i="4" s="1"/>
  <c r="X33" i="4"/>
  <c r="X47" i="4"/>
  <c r="X21" i="4"/>
  <c r="V25" i="4"/>
  <c r="W25" i="4" s="1"/>
  <c r="X30" i="4"/>
  <c r="R36" i="4"/>
  <c r="P44" i="4"/>
  <c r="Q44" i="4"/>
  <c r="X44" i="4"/>
  <c r="P47" i="4"/>
  <c r="O10" i="4"/>
  <c r="X15" i="4"/>
  <c r="P21" i="4"/>
  <c r="R22" i="4"/>
  <c r="P23" i="4"/>
  <c r="Q25" i="4"/>
  <c r="P27" i="4"/>
  <c r="Q27" i="4"/>
  <c r="X27" i="4"/>
  <c r="R29" i="4"/>
  <c r="P30" i="4"/>
  <c r="X35" i="4"/>
  <c r="P39" i="4"/>
  <c r="Q39" i="4"/>
  <c r="O41" i="4"/>
  <c r="S41" i="4"/>
  <c r="U41" i="4" s="1"/>
  <c r="P43" i="4"/>
  <c r="R44" i="4"/>
  <c r="S49" i="4"/>
  <c r="O49" i="4"/>
  <c r="X25" i="4"/>
  <c r="X28" i="4"/>
  <c r="P32" i="4"/>
  <c r="Q32" i="4"/>
  <c r="X32" i="4"/>
  <c r="R34" i="4"/>
  <c r="P35" i="4"/>
  <c r="R37" i="4"/>
  <c r="O38" i="4"/>
  <c r="P42" i="4"/>
  <c r="P46" i="4"/>
  <c r="Q46" i="4"/>
  <c r="X46" i="4"/>
  <c r="P48" i="4"/>
  <c r="X51" i="4"/>
  <c r="P51" i="4"/>
  <c r="O50" i="4"/>
  <c r="S52" i="4"/>
  <c r="U52" i="4" s="1"/>
  <c r="U22" i="4" l="1"/>
  <c r="Q40" i="4"/>
  <c r="U19" i="4"/>
  <c r="U45" i="4"/>
  <c r="Y45" i="4" s="1"/>
  <c r="U42" i="4"/>
  <c r="Y42" i="4" s="1"/>
  <c r="U36" i="4"/>
  <c r="Y36" i="4" s="1"/>
  <c r="U28" i="4"/>
  <c r="Z28" i="4" s="1"/>
  <c r="AE28" i="4" s="1"/>
  <c r="U33" i="4"/>
  <c r="U43" i="4"/>
  <c r="Z43" i="4" s="1"/>
  <c r="AA43" i="4" s="1"/>
  <c r="U34" i="4"/>
  <c r="Y34" i="4" s="1"/>
  <c r="U20" i="4"/>
  <c r="Z20" i="4" s="1"/>
  <c r="AE20" i="4" s="1"/>
  <c r="U16" i="4"/>
  <c r="Y16" i="4" s="1"/>
  <c r="U39" i="4"/>
  <c r="Z39" i="4" s="1"/>
  <c r="AE39" i="4" s="1"/>
  <c r="U48" i="4"/>
  <c r="Y48" i="4" s="1"/>
  <c r="U26" i="4"/>
  <c r="Z26" i="4" s="1"/>
  <c r="AE26" i="4" s="1"/>
  <c r="U24" i="4"/>
  <c r="Y24" i="4" s="1"/>
  <c r="U40" i="4"/>
  <c r="Z40" i="4" s="1"/>
  <c r="AA40" i="4" s="1"/>
  <c r="U25" i="4"/>
  <c r="Y25" i="4" s="1"/>
  <c r="Z19" i="4"/>
  <c r="AE19" i="4" s="1"/>
  <c r="Y19" i="4"/>
  <c r="U37" i="4"/>
  <c r="Y37" i="4" s="1"/>
  <c r="U17" i="4"/>
  <c r="Z17" i="4" s="1"/>
  <c r="U29" i="4"/>
  <c r="Y29" i="4" s="1"/>
  <c r="O53" i="4"/>
  <c r="Z52" i="4"/>
  <c r="AE52" i="4" s="1"/>
  <c r="Y52" i="4"/>
  <c r="Y6" i="4"/>
  <c r="Z6" i="4"/>
  <c r="AA6" i="4" s="1"/>
  <c r="Z37" i="4"/>
  <c r="AE37" i="4" s="1"/>
  <c r="Z22" i="4"/>
  <c r="AE22" i="4" s="1"/>
  <c r="Y22" i="4"/>
  <c r="Z25" i="4"/>
  <c r="AE25" i="4" s="1"/>
  <c r="Z33" i="4"/>
  <c r="AE33" i="4" s="1"/>
  <c r="Y33" i="4"/>
  <c r="V13" i="4"/>
  <c r="W13" i="4" s="1"/>
  <c r="U13" i="4"/>
  <c r="U3" i="4"/>
  <c r="U46" i="4"/>
  <c r="V46" i="4"/>
  <c r="W46" i="4" s="1"/>
  <c r="Q38" i="4"/>
  <c r="P38" i="4"/>
  <c r="Z36" i="4"/>
  <c r="AE36" i="4" s="1"/>
  <c r="V30" i="4"/>
  <c r="W30" i="4" s="1"/>
  <c r="U30" i="4"/>
  <c r="P10" i="4"/>
  <c r="X10" i="4"/>
  <c r="Q10" i="4"/>
  <c r="U44" i="4"/>
  <c r="V44" i="4"/>
  <c r="W44" i="4" s="1"/>
  <c r="Y20" i="4"/>
  <c r="X11" i="4"/>
  <c r="Q11" i="4"/>
  <c r="P11" i="4"/>
  <c r="Q9" i="4"/>
  <c r="P9" i="4"/>
  <c r="V23" i="4"/>
  <c r="W23" i="4" s="1"/>
  <c r="U23" i="4"/>
  <c r="V35" i="4"/>
  <c r="W35" i="4" s="1"/>
  <c r="U35" i="4"/>
  <c r="U27" i="4"/>
  <c r="V27" i="4"/>
  <c r="W27" i="4" s="1"/>
  <c r="V21" i="4"/>
  <c r="W21" i="4" s="1"/>
  <c r="U21" i="4"/>
  <c r="V47" i="4"/>
  <c r="W47" i="4" s="1"/>
  <c r="U47" i="4"/>
  <c r="V12" i="4"/>
  <c r="W12" i="4" s="1"/>
  <c r="U12" i="4"/>
  <c r="V7" i="4"/>
  <c r="W7" i="4" s="1"/>
  <c r="U7" i="4"/>
  <c r="Q4" i="4"/>
  <c r="P4" i="4"/>
  <c r="X4" i="4"/>
  <c r="V51" i="4"/>
  <c r="W51" i="4" s="1"/>
  <c r="U51" i="4"/>
  <c r="Y31" i="4"/>
  <c r="Z31" i="4"/>
  <c r="AA31" i="4" s="1"/>
  <c r="P50" i="4"/>
  <c r="Q50" i="4"/>
  <c r="U32" i="4"/>
  <c r="V32" i="4"/>
  <c r="W32" i="4" s="1"/>
  <c r="Q49" i="4"/>
  <c r="P49" i="4"/>
  <c r="Y41" i="4"/>
  <c r="Z41" i="4"/>
  <c r="AE41" i="4" s="1"/>
  <c r="Y28" i="4"/>
  <c r="V18" i="4"/>
  <c r="W18" i="4" s="1"/>
  <c r="U18" i="4"/>
  <c r="Q14" i="4"/>
  <c r="X14" i="4"/>
  <c r="P14" i="4"/>
  <c r="Y15" i="4"/>
  <c r="Z15" i="4"/>
  <c r="AE15" i="4" s="1"/>
  <c r="Q5" i="4"/>
  <c r="P5" i="4"/>
  <c r="X5" i="4"/>
  <c r="Z16" i="4" l="1"/>
  <c r="AE16" i="4" s="1"/>
  <c r="Z42" i="4"/>
  <c r="AA42" i="4" s="1"/>
  <c r="Z24" i="4"/>
  <c r="AA24" i="4" s="1"/>
  <c r="Y43" i="4"/>
  <c r="AE17" i="4"/>
  <c r="Y39" i="4"/>
  <c r="Z45" i="4"/>
  <c r="AE45" i="4" s="1"/>
  <c r="Z48" i="4"/>
  <c r="AE48" i="4" s="1"/>
  <c r="Y40" i="4"/>
  <c r="Z34" i="4"/>
  <c r="AE34" i="4" s="1"/>
  <c r="Y26" i="4"/>
  <c r="U49" i="4"/>
  <c r="Y49" i="4" s="1"/>
  <c r="AE49" i="4" s="1"/>
  <c r="P53" i="4"/>
  <c r="Z29" i="4"/>
  <c r="AE29" i="4" s="1"/>
  <c r="Y17" i="4"/>
  <c r="AE31" i="4"/>
  <c r="Z51" i="4"/>
  <c r="AE51" i="4" s="1"/>
  <c r="Y51" i="4"/>
  <c r="Q53" i="4"/>
  <c r="Z47" i="4"/>
  <c r="AA47" i="4" s="1"/>
  <c r="Y47" i="4"/>
  <c r="Z35" i="4"/>
  <c r="AE35" i="4" s="1"/>
  <c r="Y35" i="4"/>
  <c r="Z3" i="4"/>
  <c r="AE3" i="4" s="1"/>
  <c r="Y3" i="4"/>
  <c r="AE40" i="4"/>
  <c r="V5" i="4"/>
  <c r="W5" i="4" s="1"/>
  <c r="U5" i="4"/>
  <c r="Z18" i="4"/>
  <c r="AA18" i="4" s="1"/>
  <c r="Y18" i="4"/>
  <c r="V14" i="4"/>
  <c r="W14" i="4" s="1"/>
  <c r="U14" i="4"/>
  <c r="U50" i="4"/>
  <c r="V50" i="4"/>
  <c r="W50" i="4" s="1"/>
  <c r="Z7" i="4"/>
  <c r="AE7" i="4" s="1"/>
  <c r="Y7" i="4"/>
  <c r="Y27" i="4"/>
  <c r="Z27" i="4"/>
  <c r="AA27" i="4" s="1"/>
  <c r="Z23" i="4"/>
  <c r="AE23" i="4" s="1"/>
  <c r="Y23" i="4"/>
  <c r="V11" i="4"/>
  <c r="W11" i="4" s="1"/>
  <c r="U11" i="4"/>
  <c r="Z8" i="4"/>
  <c r="AE8" i="4" s="1"/>
  <c r="Y8" i="4"/>
  <c r="X53" i="4"/>
  <c r="Z21" i="4"/>
  <c r="AE21" i="4" s="1"/>
  <c r="Y21" i="4"/>
  <c r="U10" i="4"/>
  <c r="V10" i="4"/>
  <c r="W10" i="4" s="1"/>
  <c r="Y32" i="4"/>
  <c r="Z32" i="4"/>
  <c r="AA32" i="4" s="1"/>
  <c r="V4" i="4"/>
  <c r="U4" i="4"/>
  <c r="Z12" i="4"/>
  <c r="AA12" i="4" s="1"/>
  <c r="Y12" i="4"/>
  <c r="AE43" i="4"/>
  <c r="U9" i="4"/>
  <c r="Y44" i="4"/>
  <c r="Z44" i="4"/>
  <c r="AE44" i="4" s="1"/>
  <c r="Z30" i="4"/>
  <c r="AE30" i="4" s="1"/>
  <c r="Y30" i="4"/>
  <c r="Y46" i="4"/>
  <c r="Z46" i="4"/>
  <c r="AA46" i="4" s="1"/>
  <c r="Z13" i="4"/>
  <c r="AE13" i="4" s="1"/>
  <c r="Y13" i="4"/>
  <c r="AE6" i="4"/>
  <c r="AE42" i="4" l="1"/>
  <c r="AE24" i="4"/>
  <c r="AE27" i="4"/>
  <c r="AE47" i="4"/>
  <c r="AE18" i="4"/>
  <c r="AE32" i="4"/>
  <c r="Y9" i="4"/>
  <c r="Z9" i="4"/>
  <c r="AE9" i="4" s="1"/>
  <c r="Y10" i="4"/>
  <c r="Z10" i="4"/>
  <c r="AE10" i="4" s="1"/>
  <c r="Z4" i="4"/>
  <c r="Y50" i="4"/>
  <c r="Z50" i="4"/>
  <c r="AE50" i="4" s="1"/>
  <c r="AE46" i="4"/>
  <c r="AE12" i="4"/>
  <c r="V53" i="4"/>
  <c r="W4" i="4"/>
  <c r="W53" i="4" s="1"/>
  <c r="Z14" i="4"/>
  <c r="AA14" i="4" s="1"/>
  <c r="Y14" i="4"/>
  <c r="Z11" i="4"/>
  <c r="AE11" i="4" s="1"/>
  <c r="AF11" i="4" s="1"/>
  <c r="Y11" i="4"/>
  <c r="Z5" i="4"/>
  <c r="AE5" i="4" s="1"/>
  <c r="Y5" i="4"/>
  <c r="AE14" i="4" l="1"/>
  <c r="AE4" i="4"/>
  <c r="Y4" i="4"/>
  <c r="R5" i="2" l="1"/>
  <c r="P4" i="2" l="1"/>
  <c r="T56" i="2" l="1"/>
  <c r="AG40" i="1" l="1"/>
  <c r="R12" i="2" l="1"/>
  <c r="R11" i="2"/>
  <c r="R10" i="2"/>
  <c r="R9" i="2"/>
  <c r="R7" i="2"/>
  <c r="R6" i="2"/>
  <c r="R4" i="2"/>
  <c r="R3" i="2"/>
  <c r="R13" i="2"/>
  <c r="R14" i="2"/>
  <c r="R16" i="2"/>
  <c r="R53" i="2"/>
  <c r="R55" i="2"/>
  <c r="M55" i="2"/>
  <c r="L55" i="2"/>
  <c r="L53" i="2"/>
  <c r="L51" i="2"/>
  <c r="L42" i="2"/>
  <c r="L43" i="2"/>
  <c r="L44" i="2"/>
  <c r="L45" i="2"/>
  <c r="M16" i="2"/>
  <c r="L10" i="2"/>
  <c r="L11" i="2"/>
  <c r="L12" i="2"/>
  <c r="L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3" i="2"/>
  <c r="S48" i="2" l="1"/>
  <c r="S38" i="2"/>
  <c r="S37" i="2"/>
  <c r="S34" i="2"/>
  <c r="S33" i="2"/>
  <c r="S30" i="2"/>
  <c r="S29" i="2"/>
  <c r="S26" i="2"/>
  <c r="S25" i="2"/>
  <c r="R54" i="2"/>
  <c r="R48" i="2"/>
  <c r="R47" i="2"/>
  <c r="R26" i="2"/>
  <c r="R29" i="2"/>
  <c r="R30" i="2"/>
  <c r="R33" i="2"/>
  <c r="R34" i="2"/>
  <c r="R37" i="2"/>
  <c r="R38" i="2"/>
  <c r="R25" i="2"/>
  <c r="R24" i="2"/>
  <c r="M54" i="2"/>
  <c r="S54" i="2" s="1"/>
  <c r="M50" i="2"/>
  <c r="S50" i="2" s="1"/>
  <c r="M49" i="2"/>
  <c r="R49" i="2" s="1"/>
  <c r="M48" i="2"/>
  <c r="M47" i="2"/>
  <c r="S47" i="2" s="1"/>
  <c r="M40" i="2"/>
  <c r="S40" i="2" s="1"/>
  <c r="M39" i="2"/>
  <c r="S39" i="2" s="1"/>
  <c r="M38" i="2"/>
  <c r="M37" i="2"/>
  <c r="M36" i="2"/>
  <c r="S36" i="2" s="1"/>
  <c r="M35" i="2"/>
  <c r="R35" i="2" s="1"/>
  <c r="M34" i="2"/>
  <c r="M33" i="2"/>
  <c r="M32" i="2"/>
  <c r="S32" i="2" s="1"/>
  <c r="M31" i="2"/>
  <c r="R31" i="2" s="1"/>
  <c r="M30" i="2"/>
  <c r="M29" i="2"/>
  <c r="M28" i="2"/>
  <c r="S28" i="2" s="1"/>
  <c r="M27" i="2"/>
  <c r="R27" i="2" s="1"/>
  <c r="M26" i="2"/>
  <c r="M25" i="2"/>
  <c r="M24" i="2"/>
  <c r="S24" i="2" s="1"/>
  <c r="M15" i="2"/>
  <c r="R15" i="2" s="1"/>
  <c r="AD56" i="2"/>
  <c r="AB56" i="2"/>
  <c r="H56" i="2"/>
  <c r="F56" i="2"/>
  <c r="X55" i="2"/>
  <c r="W55" i="2"/>
  <c r="O55" i="2"/>
  <c r="P55" i="2" s="1"/>
  <c r="O54" i="2"/>
  <c r="Q54" i="2" s="1"/>
  <c r="X53" i="2"/>
  <c r="M53" i="2"/>
  <c r="N53" i="2"/>
  <c r="AA52" i="2"/>
  <c r="W52" i="2"/>
  <c r="M52" i="2"/>
  <c r="K52" i="2"/>
  <c r="J52" i="2"/>
  <c r="X52" i="2" s="1"/>
  <c r="X51" i="2"/>
  <c r="W51" i="2"/>
  <c r="M51" i="2"/>
  <c r="O50" i="2"/>
  <c r="X50" i="2" s="1"/>
  <c r="O49" i="2"/>
  <c r="X49" i="2" s="1"/>
  <c r="O48" i="2"/>
  <c r="X48" i="2" s="1"/>
  <c r="O47" i="2"/>
  <c r="X47" i="2" s="1"/>
  <c r="W46" i="2"/>
  <c r="M46" i="2"/>
  <c r="K46" i="2"/>
  <c r="L46" i="2" s="1"/>
  <c r="J46" i="2"/>
  <c r="X46" i="2" s="1"/>
  <c r="X45" i="2"/>
  <c r="W45" i="2"/>
  <c r="M45" i="2"/>
  <c r="X44" i="2"/>
  <c r="O44" i="2"/>
  <c r="M44" i="2"/>
  <c r="X43" i="2"/>
  <c r="M43" i="2"/>
  <c r="O43" i="2"/>
  <c r="X42" i="2"/>
  <c r="M42" i="2"/>
  <c r="S42" i="2" s="1"/>
  <c r="O42" i="2"/>
  <c r="Q42" i="2" s="1"/>
  <c r="W41" i="2"/>
  <c r="K41" i="2"/>
  <c r="J41" i="2"/>
  <c r="X41" i="2" s="1"/>
  <c r="O40" i="2"/>
  <c r="X40" i="2" s="1"/>
  <c r="O39" i="2"/>
  <c r="O38" i="2"/>
  <c r="X38" i="2" s="1"/>
  <c r="O37" i="2"/>
  <c r="X37" i="2" s="1"/>
  <c r="O36" i="2"/>
  <c r="X36" i="2" s="1"/>
  <c r="O35" i="2"/>
  <c r="O34" i="2"/>
  <c r="O33" i="2"/>
  <c r="O32" i="2"/>
  <c r="P32" i="2" s="1"/>
  <c r="O31" i="2"/>
  <c r="X31" i="2" s="1"/>
  <c r="O30" i="2"/>
  <c r="O29" i="2"/>
  <c r="Q29" i="2" s="1"/>
  <c r="O28" i="2"/>
  <c r="O27" i="2"/>
  <c r="P27" i="2" s="1"/>
  <c r="O26" i="2"/>
  <c r="P26" i="2" s="1"/>
  <c r="V26" i="2" s="1"/>
  <c r="W26" i="2" s="1"/>
  <c r="O25" i="2"/>
  <c r="X25" i="2" s="1"/>
  <c r="O24" i="2"/>
  <c r="Q24" i="2" s="1"/>
  <c r="S23" i="2"/>
  <c r="R23" i="2"/>
  <c r="O23" i="2"/>
  <c r="X23" i="2" s="1"/>
  <c r="S22" i="2"/>
  <c r="R22" i="2"/>
  <c r="O22" i="2"/>
  <c r="X22" i="2" s="1"/>
  <c r="S21" i="2"/>
  <c r="R21" i="2"/>
  <c r="O21" i="2"/>
  <c r="X21" i="2" s="1"/>
  <c r="S20" i="2"/>
  <c r="R20" i="2"/>
  <c r="O20" i="2"/>
  <c r="P20" i="2" s="1"/>
  <c r="S19" i="2"/>
  <c r="R19" i="2"/>
  <c r="O19" i="2"/>
  <c r="Q19" i="2" s="1"/>
  <c r="S18" i="2"/>
  <c r="R18" i="2"/>
  <c r="O18" i="2"/>
  <c r="S17" i="2"/>
  <c r="R17" i="2"/>
  <c r="O17" i="2"/>
  <c r="X17" i="2" s="1"/>
  <c r="K16" i="2"/>
  <c r="L16" i="2" s="1"/>
  <c r="O15" i="2"/>
  <c r="X15" i="2" s="1"/>
  <c r="N14" i="2"/>
  <c r="M14" i="2" s="1"/>
  <c r="K14" i="2"/>
  <c r="L14" i="2" s="1"/>
  <c r="N13" i="2"/>
  <c r="M13" i="2" s="1"/>
  <c r="K13" i="2"/>
  <c r="X12" i="2"/>
  <c r="N12" i="2"/>
  <c r="M12" i="2" s="1"/>
  <c r="N11" i="2"/>
  <c r="M11" i="2" s="1"/>
  <c r="W10" i="2"/>
  <c r="N10" i="2"/>
  <c r="M10" i="2" s="1"/>
  <c r="S10" i="2"/>
  <c r="O10" i="2"/>
  <c r="J10" i="2"/>
  <c r="X10" i="2" s="1"/>
  <c r="N9" i="2"/>
  <c r="M9" i="2" s="1"/>
  <c r="K9" i="2"/>
  <c r="L9" i="2" s="1"/>
  <c r="R8" i="2"/>
  <c r="N8" i="2"/>
  <c r="M8" i="2" s="1"/>
  <c r="K8" i="2"/>
  <c r="L8" i="2" s="1"/>
  <c r="N7" i="2"/>
  <c r="M7" i="2" s="1"/>
  <c r="K7" i="2"/>
  <c r="X6" i="2"/>
  <c r="W6" i="2"/>
  <c r="N6" i="2"/>
  <c r="M6" i="2" s="1"/>
  <c r="K6" i="2"/>
  <c r="N5" i="2"/>
  <c r="M5" i="2" s="1"/>
  <c r="K5" i="2"/>
  <c r="N4" i="2"/>
  <c r="M4" i="2" s="1"/>
  <c r="K4" i="2"/>
  <c r="L4" i="2" s="1"/>
  <c r="X3" i="2"/>
  <c r="W3" i="2"/>
  <c r="O3" i="2"/>
  <c r="N3" i="2"/>
  <c r="M3" i="2" s="1"/>
  <c r="L6" i="2" l="1"/>
  <c r="O6" i="2" s="1"/>
  <c r="P6" i="2" s="1"/>
  <c r="L7" i="2"/>
  <c r="L56" i="2" s="1"/>
  <c r="L41" i="2"/>
  <c r="O41" i="2" s="1"/>
  <c r="S49" i="2"/>
  <c r="O5" i="2"/>
  <c r="X5" i="2" s="1"/>
  <c r="L5" i="2"/>
  <c r="P31" i="2"/>
  <c r="Q32" i="2"/>
  <c r="R40" i="2"/>
  <c r="R36" i="2"/>
  <c r="R32" i="2"/>
  <c r="R28" i="2"/>
  <c r="R50" i="2"/>
  <c r="S15" i="2"/>
  <c r="S27" i="2"/>
  <c r="S31" i="2"/>
  <c r="S35" i="2"/>
  <c r="L13" i="2"/>
  <c r="O13" i="2" s="1"/>
  <c r="Q31" i="2"/>
  <c r="U31" i="2" s="1"/>
  <c r="Z31" i="2" s="1"/>
  <c r="O52" i="2"/>
  <c r="Q52" i="2" s="1"/>
  <c r="L52" i="2"/>
  <c r="R39" i="2"/>
  <c r="Q26" i="2"/>
  <c r="U26" i="2" s="1"/>
  <c r="P36" i="2"/>
  <c r="V36" i="2" s="1"/>
  <c r="W36" i="2" s="1"/>
  <c r="P38" i="2"/>
  <c r="V38" i="2" s="1"/>
  <c r="W38" i="2" s="1"/>
  <c r="Q20" i="2"/>
  <c r="U20" i="2" s="1"/>
  <c r="Z20" i="2" s="1"/>
  <c r="AA20" i="2" s="1"/>
  <c r="P29" i="2"/>
  <c r="V29" i="2" s="1"/>
  <c r="W29" i="2" s="1"/>
  <c r="P49" i="2"/>
  <c r="V49" i="2" s="1"/>
  <c r="W49" i="2" s="1"/>
  <c r="Q27" i="2"/>
  <c r="Q37" i="2"/>
  <c r="Q38" i="2"/>
  <c r="Q50" i="2"/>
  <c r="P19" i="2"/>
  <c r="V19" i="2" s="1"/>
  <c r="W19" i="2" s="1"/>
  <c r="P47" i="2"/>
  <c r="V47" i="2" s="1"/>
  <c r="W47" i="2" s="1"/>
  <c r="Q43" i="2"/>
  <c r="P43" i="2"/>
  <c r="S5" i="2"/>
  <c r="P17" i="2"/>
  <c r="V17" i="2" s="1"/>
  <c r="W17" i="2" s="1"/>
  <c r="P22" i="2"/>
  <c r="V22" i="2" s="1"/>
  <c r="W22" i="2" s="1"/>
  <c r="P24" i="2"/>
  <c r="V24" i="2" s="1"/>
  <c r="W24" i="2" s="1"/>
  <c r="P25" i="2"/>
  <c r="V25" i="2" s="1"/>
  <c r="W25" i="2" s="1"/>
  <c r="X29" i="2"/>
  <c r="P48" i="2"/>
  <c r="S55" i="2"/>
  <c r="U55" i="2" s="1"/>
  <c r="X24" i="2"/>
  <c r="S6" i="2"/>
  <c r="Q22" i="2"/>
  <c r="Q25" i="2"/>
  <c r="P42" i="2"/>
  <c r="U42" i="2" s="1"/>
  <c r="S43" i="2"/>
  <c r="Q48" i="2"/>
  <c r="Q23" i="2"/>
  <c r="V31" i="2"/>
  <c r="W31" i="2" s="1"/>
  <c r="P37" i="2"/>
  <c r="P40" i="2"/>
  <c r="V40" i="2" s="1"/>
  <c r="W40" i="2" s="1"/>
  <c r="S44" i="2"/>
  <c r="U44" i="2" s="1"/>
  <c r="Z44" i="2" s="1"/>
  <c r="AE44" i="2" s="1"/>
  <c r="Q49" i="2"/>
  <c r="P50" i="2"/>
  <c r="V50" i="2" s="1"/>
  <c r="W50" i="2" s="1"/>
  <c r="P3" i="2"/>
  <c r="S11" i="2"/>
  <c r="O11" i="2"/>
  <c r="S13" i="2"/>
  <c r="S14" i="2"/>
  <c r="O14" i="2"/>
  <c r="Q15" i="2"/>
  <c r="P15" i="2"/>
  <c r="S9" i="2"/>
  <c r="O9" i="2"/>
  <c r="S12" i="2"/>
  <c r="O12" i="2"/>
  <c r="P5" i="2"/>
  <c r="S4" i="2"/>
  <c r="O4" i="2"/>
  <c r="Q18" i="2"/>
  <c r="P18" i="2"/>
  <c r="V20" i="2"/>
  <c r="W20" i="2" s="1"/>
  <c r="S8" i="2"/>
  <c r="O8" i="2"/>
  <c r="Q10" i="2"/>
  <c r="P10" i="2"/>
  <c r="S16" i="2"/>
  <c r="O16" i="2"/>
  <c r="X18" i="2"/>
  <c r="Q21" i="2"/>
  <c r="P21" i="2"/>
  <c r="Q33" i="2"/>
  <c r="P33" i="2"/>
  <c r="Q39" i="2"/>
  <c r="P39" i="2"/>
  <c r="O7" i="2"/>
  <c r="Q17" i="2"/>
  <c r="X19" i="2"/>
  <c r="S53" i="2"/>
  <c r="O53" i="2"/>
  <c r="V32" i="2"/>
  <c r="W32" i="2" s="1"/>
  <c r="U32" i="2"/>
  <c r="U19" i="2"/>
  <c r="X20" i="2"/>
  <c r="Q28" i="2"/>
  <c r="P28" i="2"/>
  <c r="X28" i="2"/>
  <c r="X30" i="2"/>
  <c r="Q30" i="2"/>
  <c r="O51" i="2"/>
  <c r="S51" i="2"/>
  <c r="Q34" i="2"/>
  <c r="P34" i="2"/>
  <c r="Q35" i="2"/>
  <c r="P35" i="2"/>
  <c r="O46" i="2"/>
  <c r="S46" i="2"/>
  <c r="S3" i="2"/>
  <c r="P23" i="2"/>
  <c r="V27" i="2"/>
  <c r="W27" i="2" s="1"/>
  <c r="U29" i="2"/>
  <c r="P30" i="2"/>
  <c r="X33" i="2"/>
  <c r="X34" i="2"/>
  <c r="X35" i="2"/>
  <c r="U38" i="2"/>
  <c r="X39" i="2"/>
  <c r="O45" i="2"/>
  <c r="S45" i="2"/>
  <c r="S52" i="2"/>
  <c r="X26" i="2"/>
  <c r="X27" i="2"/>
  <c r="X32" i="2"/>
  <c r="Q36" i="2"/>
  <c r="Q40" i="2"/>
  <c r="Q47" i="2"/>
  <c r="X54" i="2"/>
  <c r="P54" i="2"/>
  <c r="P41" i="2" l="1"/>
  <c r="Q41" i="2"/>
  <c r="P13" i="2"/>
  <c r="X13" i="2"/>
  <c r="Q13" i="2"/>
  <c r="S7" i="2"/>
  <c r="Q5" i="2"/>
  <c r="P52" i="2"/>
  <c r="U52" i="2" s="1"/>
  <c r="Y52" i="2" s="1"/>
  <c r="AE52" i="2" s="1"/>
  <c r="Y31" i="2"/>
  <c r="U6" i="2"/>
  <c r="U47" i="2"/>
  <c r="U27" i="2"/>
  <c r="Z27" i="2" s="1"/>
  <c r="U43" i="2"/>
  <c r="U24" i="2"/>
  <c r="Z24" i="2" s="1"/>
  <c r="AE24" i="2" s="1"/>
  <c r="U36" i="2"/>
  <c r="Y36" i="2" s="1"/>
  <c r="AE31" i="2"/>
  <c r="U10" i="2"/>
  <c r="Z10" i="2" s="1"/>
  <c r="AE10" i="2" s="1"/>
  <c r="U49" i="2"/>
  <c r="Y44" i="2"/>
  <c r="Y20" i="2"/>
  <c r="U22" i="2"/>
  <c r="Z22" i="2" s="1"/>
  <c r="AE22" i="2" s="1"/>
  <c r="Z49" i="2"/>
  <c r="AA49" i="2" s="1"/>
  <c r="Y49" i="2"/>
  <c r="U50" i="2"/>
  <c r="Y50" i="2" s="1"/>
  <c r="U37" i="2"/>
  <c r="V37" i="2"/>
  <c r="W37" i="2" s="1"/>
  <c r="U25" i="2"/>
  <c r="U40" i="2"/>
  <c r="Y40" i="2" s="1"/>
  <c r="U17" i="2"/>
  <c r="Z17" i="2" s="1"/>
  <c r="AE17" i="2" s="1"/>
  <c r="U48" i="2"/>
  <c r="V48" i="2"/>
  <c r="W48" i="2" s="1"/>
  <c r="AE27" i="2"/>
  <c r="Z36" i="2"/>
  <c r="AE36" i="2" s="1"/>
  <c r="P46" i="2"/>
  <c r="Q46" i="2"/>
  <c r="Y26" i="2"/>
  <c r="Z26" i="2"/>
  <c r="AA26" i="2" s="1"/>
  <c r="Z43" i="2"/>
  <c r="AA43" i="2" s="1"/>
  <c r="Y43" i="2"/>
  <c r="V21" i="2"/>
  <c r="W21" i="2" s="1"/>
  <c r="U21" i="2"/>
  <c r="P45" i="2"/>
  <c r="Q45" i="2"/>
  <c r="Z38" i="2"/>
  <c r="AE38" i="2" s="1"/>
  <c r="Y38" i="2"/>
  <c r="U23" i="2"/>
  <c r="V23" i="2"/>
  <c r="W23" i="2" s="1"/>
  <c r="V35" i="2"/>
  <c r="W35" i="2" s="1"/>
  <c r="U35" i="2"/>
  <c r="P51" i="2"/>
  <c r="Q51" i="2"/>
  <c r="V28" i="2"/>
  <c r="W28" i="2" s="1"/>
  <c r="U28" i="2"/>
  <c r="Q53" i="2"/>
  <c r="P53" i="2"/>
  <c r="Q7" i="2"/>
  <c r="P7" i="2"/>
  <c r="X7" i="2"/>
  <c r="V33" i="2"/>
  <c r="W33" i="2" s="1"/>
  <c r="U33" i="2"/>
  <c r="V18" i="2"/>
  <c r="W18" i="2" s="1"/>
  <c r="U18" i="2"/>
  <c r="V5" i="2"/>
  <c r="W5" i="2" s="1"/>
  <c r="U5" i="2"/>
  <c r="X9" i="2"/>
  <c r="Q9" i="2"/>
  <c r="P9" i="2"/>
  <c r="AE20" i="2"/>
  <c r="Z47" i="2"/>
  <c r="AE47" i="2" s="1"/>
  <c r="Y47" i="2"/>
  <c r="P14" i="2"/>
  <c r="X14" i="2"/>
  <c r="Q14" i="2"/>
  <c r="Z42" i="2"/>
  <c r="AE42" i="2" s="1"/>
  <c r="Y42" i="2"/>
  <c r="V30" i="2"/>
  <c r="W30" i="2" s="1"/>
  <c r="U30" i="2"/>
  <c r="Z50" i="2"/>
  <c r="AA50" i="2" s="1"/>
  <c r="V15" i="2"/>
  <c r="W15" i="2" s="1"/>
  <c r="U15" i="2"/>
  <c r="V13" i="2"/>
  <c r="W13" i="2" s="1"/>
  <c r="U13" i="2"/>
  <c r="O56" i="2"/>
  <c r="V54" i="2"/>
  <c r="W54" i="2" s="1"/>
  <c r="U54" i="2"/>
  <c r="Z29" i="2"/>
  <c r="AA29" i="2" s="1"/>
  <c r="Y29" i="2"/>
  <c r="V34" i="2"/>
  <c r="W34" i="2" s="1"/>
  <c r="U34" i="2"/>
  <c r="Z55" i="2"/>
  <c r="AE55" i="2" s="1"/>
  <c r="Y55" i="2"/>
  <c r="Z19" i="2"/>
  <c r="AE19" i="2" s="1"/>
  <c r="Y19" i="2"/>
  <c r="Z32" i="2"/>
  <c r="AE32" i="2" s="1"/>
  <c r="Y32" i="2"/>
  <c r="V39" i="2"/>
  <c r="W39" i="2" s="1"/>
  <c r="U39" i="2"/>
  <c r="Q16" i="2"/>
  <c r="P16" i="2"/>
  <c r="X16" i="2"/>
  <c r="P8" i="2"/>
  <c r="X8" i="2"/>
  <c r="Q8" i="2"/>
  <c r="X4" i="2"/>
  <c r="Q4" i="2"/>
  <c r="Q12" i="2"/>
  <c r="P12" i="2"/>
  <c r="Z6" i="2"/>
  <c r="AA6" i="2" s="1"/>
  <c r="Y6" i="2"/>
  <c r="X11" i="2"/>
  <c r="Q11" i="2"/>
  <c r="P11" i="2"/>
  <c r="U3" i="2"/>
  <c r="Y22" i="2" l="1"/>
  <c r="Y27" i="2"/>
  <c r="Z40" i="2"/>
  <c r="AE40" i="2" s="1"/>
  <c r="Y24" i="2"/>
  <c r="Y10" i="2"/>
  <c r="AE29" i="2"/>
  <c r="Y17" i="2"/>
  <c r="AE49" i="2"/>
  <c r="Z25" i="2"/>
  <c r="AE25" i="2" s="1"/>
  <c r="Y25" i="2"/>
  <c r="Z48" i="2"/>
  <c r="AE48" i="2" s="1"/>
  <c r="Y48" i="2"/>
  <c r="Z37" i="2"/>
  <c r="AE37" i="2" s="1"/>
  <c r="Y37" i="2"/>
  <c r="Z13" i="2"/>
  <c r="AE13" i="2" s="1"/>
  <c r="AF13" i="2" s="1"/>
  <c r="Y13" i="2"/>
  <c r="V7" i="2"/>
  <c r="W7" i="2" s="1"/>
  <c r="U7" i="2"/>
  <c r="AE6" i="2"/>
  <c r="Q56" i="2"/>
  <c r="U8" i="2"/>
  <c r="V8" i="2"/>
  <c r="W8" i="2" s="1"/>
  <c r="Z39" i="2"/>
  <c r="AE39" i="2" s="1"/>
  <c r="Y39" i="2"/>
  <c r="Z34" i="2"/>
  <c r="AA34" i="2" s="1"/>
  <c r="Y34" i="2"/>
  <c r="Z33" i="2"/>
  <c r="AA33" i="2" s="1"/>
  <c r="Y33" i="2"/>
  <c r="V53" i="2"/>
  <c r="W53" i="2" s="1"/>
  <c r="U53" i="2"/>
  <c r="U51" i="2"/>
  <c r="Y23" i="2"/>
  <c r="Z23" i="2"/>
  <c r="AE23" i="2" s="1"/>
  <c r="U46" i="2"/>
  <c r="Z18" i="2"/>
  <c r="AE18" i="2" s="1"/>
  <c r="Y18" i="2"/>
  <c r="Z21" i="2"/>
  <c r="AE21" i="2" s="1"/>
  <c r="Y21" i="2"/>
  <c r="Y3" i="2"/>
  <c r="Z3" i="2"/>
  <c r="X56" i="2"/>
  <c r="Z54" i="2"/>
  <c r="AE54" i="2" s="1"/>
  <c r="Y54" i="2"/>
  <c r="Z15" i="2"/>
  <c r="AE15" i="2" s="1"/>
  <c r="Y15" i="2"/>
  <c r="U14" i="2"/>
  <c r="V14" i="2"/>
  <c r="W14" i="2" s="1"/>
  <c r="Z5" i="2"/>
  <c r="AE5" i="2" s="1"/>
  <c r="Y5" i="2"/>
  <c r="Z28" i="2"/>
  <c r="AE28" i="2" s="1"/>
  <c r="Y28" i="2"/>
  <c r="Z35" i="2"/>
  <c r="AE35" i="2" s="1"/>
  <c r="Y35" i="2"/>
  <c r="U45" i="2"/>
  <c r="AE43" i="2"/>
  <c r="AE26" i="2"/>
  <c r="V11" i="2"/>
  <c r="W11" i="2" s="1"/>
  <c r="U11" i="2"/>
  <c r="V4" i="2"/>
  <c r="U4" i="2"/>
  <c r="V12" i="2"/>
  <c r="W12" i="2" s="1"/>
  <c r="U12" i="2"/>
  <c r="P56" i="2"/>
  <c r="V16" i="2"/>
  <c r="W16" i="2" s="1"/>
  <c r="U16" i="2"/>
  <c r="AE50" i="2"/>
  <c r="Z30" i="2"/>
  <c r="AE30" i="2" s="1"/>
  <c r="Y30" i="2"/>
  <c r="V9" i="2"/>
  <c r="W9" i="2" s="1"/>
  <c r="U9" i="2"/>
  <c r="AE34" i="2" l="1"/>
  <c r="Y8" i="2"/>
  <c r="Z8" i="2"/>
  <c r="AE8" i="2" s="1"/>
  <c r="Y14" i="2"/>
  <c r="Z14" i="2"/>
  <c r="AA14" i="2" s="1"/>
  <c r="Z12" i="2"/>
  <c r="AE12" i="2" s="1"/>
  <c r="Y12" i="2"/>
  <c r="Z11" i="2"/>
  <c r="AE11" i="2" s="1"/>
  <c r="Y11" i="2"/>
  <c r="Z45" i="2"/>
  <c r="AA45" i="2" s="1"/>
  <c r="Y45" i="2"/>
  <c r="AE33" i="2"/>
  <c r="Z4" i="2"/>
  <c r="Z53" i="2"/>
  <c r="AE53" i="2" s="1"/>
  <c r="Y53" i="2"/>
  <c r="Z9" i="2"/>
  <c r="AE9" i="2" s="1"/>
  <c r="Y9" i="2"/>
  <c r="V56" i="2"/>
  <c r="W4" i="2"/>
  <c r="W56" i="2" s="1"/>
  <c r="Z16" i="2"/>
  <c r="AA16" i="2" s="1"/>
  <c r="Y16" i="2"/>
  <c r="AE3" i="2"/>
  <c r="Z46" i="2"/>
  <c r="AA46" i="2" s="1"/>
  <c r="Y46" i="2"/>
  <c r="Z51" i="2"/>
  <c r="AE51" i="2" s="1"/>
  <c r="Y51" i="2"/>
  <c r="Z7" i="2"/>
  <c r="AE7" i="2" s="1"/>
  <c r="Y7" i="2"/>
  <c r="Y4" i="2" l="1"/>
  <c r="AE46" i="2"/>
  <c r="AE16" i="2"/>
  <c r="AE45" i="2"/>
  <c r="AE4" i="2"/>
  <c r="AE14" i="2"/>
  <c r="AG47" i="1" l="1"/>
  <c r="AG48" i="1"/>
  <c r="AG49" i="1"/>
  <c r="AG50" i="1"/>
  <c r="AG54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15" i="1"/>
  <c r="R13" i="1" l="1"/>
  <c r="N13" i="1"/>
  <c r="N5" i="1"/>
  <c r="R9" i="1" l="1"/>
  <c r="N9" i="1"/>
  <c r="R55" i="1" l="1"/>
  <c r="R6" i="1"/>
  <c r="N6" i="1"/>
  <c r="N3" i="1"/>
  <c r="R12" i="1" l="1"/>
  <c r="N12" i="1"/>
  <c r="R5" i="1"/>
  <c r="R53" i="1"/>
  <c r="N53" i="1"/>
  <c r="R3" i="1"/>
  <c r="G17" i="1" l="1"/>
  <c r="L42" i="1" l="1"/>
  <c r="L43" i="1"/>
  <c r="L44" i="1"/>
  <c r="S44" i="1" s="1"/>
  <c r="U44" i="1" s="1"/>
  <c r="L45" i="1"/>
  <c r="O45" i="1" s="1"/>
  <c r="P45" i="1" s="1"/>
  <c r="L55" i="1"/>
  <c r="O55" i="1" s="1"/>
  <c r="P55" i="1" s="1"/>
  <c r="L53" i="1"/>
  <c r="L51" i="1"/>
  <c r="M55" i="1"/>
  <c r="M52" i="1"/>
  <c r="M51" i="1"/>
  <c r="M53" i="1"/>
  <c r="R16" i="1"/>
  <c r="R14" i="1"/>
  <c r="R11" i="1"/>
  <c r="R10" i="1"/>
  <c r="R8" i="1"/>
  <c r="R7" i="1"/>
  <c r="R4" i="1"/>
  <c r="M16" i="1"/>
  <c r="M5" i="1"/>
  <c r="M6" i="1"/>
  <c r="M8" i="1"/>
  <c r="M9" i="1"/>
  <c r="M12" i="1"/>
  <c r="M13" i="1"/>
  <c r="M3" i="1"/>
  <c r="L16" i="1"/>
  <c r="L7" i="1"/>
  <c r="L8" i="1"/>
  <c r="L10" i="1"/>
  <c r="L11" i="1"/>
  <c r="L12" i="1"/>
  <c r="O15" i="1"/>
  <c r="Q15" i="1" s="1"/>
  <c r="L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3" i="1"/>
  <c r="AD56" i="1"/>
  <c r="AB56" i="1"/>
  <c r="H56" i="1"/>
  <c r="F56" i="1"/>
  <c r="X55" i="1"/>
  <c r="W55" i="1"/>
  <c r="S54" i="1"/>
  <c r="R54" i="1"/>
  <c r="O54" i="1"/>
  <c r="X54" i="1" s="1"/>
  <c r="X53" i="1"/>
  <c r="O53" i="1"/>
  <c r="P53" i="1" s="1"/>
  <c r="AA52" i="1"/>
  <c r="W52" i="1"/>
  <c r="K52" i="1"/>
  <c r="L52" i="1" s="1"/>
  <c r="J52" i="1"/>
  <c r="X52" i="1" s="1"/>
  <c r="X51" i="1"/>
  <c r="W51" i="1"/>
  <c r="R50" i="1"/>
  <c r="O50" i="1"/>
  <c r="P50" i="1" s="1"/>
  <c r="M50" i="1"/>
  <c r="S50" i="1" s="1"/>
  <c r="R49" i="1"/>
  <c r="O49" i="1"/>
  <c r="X49" i="1" s="1"/>
  <c r="M49" i="1"/>
  <c r="S49" i="1" s="1"/>
  <c r="R48" i="1"/>
  <c r="O48" i="1"/>
  <c r="Q48" i="1" s="1"/>
  <c r="M48" i="1"/>
  <c r="S48" i="1" s="1"/>
  <c r="R47" i="1"/>
  <c r="O47" i="1"/>
  <c r="X47" i="1" s="1"/>
  <c r="M47" i="1"/>
  <c r="S47" i="1" s="1"/>
  <c r="W46" i="1"/>
  <c r="M46" i="1"/>
  <c r="K46" i="1"/>
  <c r="L46" i="1" s="1"/>
  <c r="O46" i="1" s="1"/>
  <c r="P46" i="1" s="1"/>
  <c r="J46" i="1"/>
  <c r="X46" i="1" s="1"/>
  <c r="X45" i="1"/>
  <c r="W45" i="1"/>
  <c r="M45" i="1"/>
  <c r="X44" i="1"/>
  <c r="O44" i="1"/>
  <c r="M44" i="1"/>
  <c r="X43" i="1"/>
  <c r="M43" i="1"/>
  <c r="O43" i="1"/>
  <c r="Q43" i="1" s="1"/>
  <c r="X42" i="1"/>
  <c r="M42" i="1"/>
  <c r="O42" i="1"/>
  <c r="Q42" i="1" s="1"/>
  <c r="W41" i="1"/>
  <c r="M41" i="1"/>
  <c r="K41" i="1"/>
  <c r="J41" i="1"/>
  <c r="X41" i="1" s="1"/>
  <c r="R40" i="1"/>
  <c r="O40" i="1"/>
  <c r="X40" i="1" s="1"/>
  <c r="M40" i="1"/>
  <c r="S40" i="1" s="1"/>
  <c r="R39" i="1"/>
  <c r="O39" i="1"/>
  <c r="P39" i="1" s="1"/>
  <c r="M39" i="1"/>
  <c r="S39" i="1" s="1"/>
  <c r="S38" i="1"/>
  <c r="R38" i="1"/>
  <c r="O38" i="1"/>
  <c r="X38" i="1" s="1"/>
  <c r="M38" i="1"/>
  <c r="R37" i="1"/>
  <c r="O37" i="1"/>
  <c r="P37" i="1" s="1"/>
  <c r="M37" i="1"/>
  <c r="S37" i="1" s="1"/>
  <c r="S36" i="1"/>
  <c r="R36" i="1"/>
  <c r="O36" i="1"/>
  <c r="X36" i="1" s="1"/>
  <c r="M36" i="1"/>
  <c r="R35" i="1"/>
  <c r="O35" i="1"/>
  <c r="P35" i="1" s="1"/>
  <c r="M35" i="1"/>
  <c r="S35" i="1" s="1"/>
  <c r="R34" i="1"/>
  <c r="O34" i="1"/>
  <c r="X34" i="1" s="1"/>
  <c r="M34" i="1"/>
  <c r="S34" i="1" s="1"/>
  <c r="R33" i="1"/>
  <c r="O33" i="1"/>
  <c r="X33" i="1" s="1"/>
  <c r="M33" i="1"/>
  <c r="S33" i="1" s="1"/>
  <c r="R32" i="1"/>
  <c r="O32" i="1"/>
  <c r="P32" i="1" s="1"/>
  <c r="M32" i="1"/>
  <c r="S32" i="1" s="1"/>
  <c r="R31" i="1"/>
  <c r="O31" i="1"/>
  <c r="X31" i="1" s="1"/>
  <c r="M31" i="1"/>
  <c r="S31" i="1" s="1"/>
  <c r="R30" i="1"/>
  <c r="O30" i="1"/>
  <c r="M30" i="1"/>
  <c r="S30" i="1" s="1"/>
  <c r="R29" i="1"/>
  <c r="O29" i="1"/>
  <c r="X29" i="1" s="1"/>
  <c r="M29" i="1"/>
  <c r="S29" i="1" s="1"/>
  <c r="R28" i="1"/>
  <c r="O28" i="1"/>
  <c r="Q28" i="1" s="1"/>
  <c r="M28" i="1"/>
  <c r="S28" i="1" s="1"/>
  <c r="R27" i="1"/>
  <c r="O27" i="1"/>
  <c r="X27" i="1" s="1"/>
  <c r="M27" i="1"/>
  <c r="S27" i="1" s="1"/>
  <c r="R26" i="1"/>
  <c r="O26" i="1"/>
  <c r="Q26" i="1" s="1"/>
  <c r="M26" i="1"/>
  <c r="S26" i="1" s="1"/>
  <c r="R25" i="1"/>
  <c r="O25" i="1"/>
  <c r="X25" i="1" s="1"/>
  <c r="M25" i="1"/>
  <c r="S25" i="1" s="1"/>
  <c r="S24" i="1"/>
  <c r="R24" i="1"/>
  <c r="O24" i="1"/>
  <c r="P24" i="1" s="1"/>
  <c r="M24" i="1"/>
  <c r="S23" i="1"/>
  <c r="R23" i="1"/>
  <c r="O23" i="1"/>
  <c r="P23" i="1" s="1"/>
  <c r="S22" i="1"/>
  <c r="R22" i="1"/>
  <c r="O22" i="1"/>
  <c r="S21" i="1"/>
  <c r="R21" i="1"/>
  <c r="O21" i="1"/>
  <c r="X21" i="1" s="1"/>
  <c r="S20" i="1"/>
  <c r="R20" i="1"/>
  <c r="O20" i="1"/>
  <c r="P20" i="1" s="1"/>
  <c r="S19" i="1"/>
  <c r="R19" i="1"/>
  <c r="O19" i="1"/>
  <c r="Q19" i="1" s="1"/>
  <c r="S18" i="1"/>
  <c r="R18" i="1"/>
  <c r="O18" i="1"/>
  <c r="P18" i="1" s="1"/>
  <c r="S17" i="1"/>
  <c r="R17" i="1"/>
  <c r="O17" i="1"/>
  <c r="X17" i="1" s="1"/>
  <c r="K16" i="1"/>
  <c r="S15" i="1"/>
  <c r="R15" i="1"/>
  <c r="N14" i="1"/>
  <c r="M14" i="1" s="1"/>
  <c r="K14" i="1"/>
  <c r="L14" i="1" s="1"/>
  <c r="K13" i="1"/>
  <c r="L13" i="1" s="1"/>
  <c r="S13" i="1" s="1"/>
  <c r="S12" i="1"/>
  <c r="N11" i="1"/>
  <c r="M11" i="1" s="1"/>
  <c r="W10" i="1"/>
  <c r="N10" i="1"/>
  <c r="M10" i="1" s="1"/>
  <c r="S10" i="1" s="1"/>
  <c r="J10" i="1"/>
  <c r="X10" i="1" s="1"/>
  <c r="K9" i="1"/>
  <c r="L9" i="1" s="1"/>
  <c r="N8" i="1"/>
  <c r="K8" i="1"/>
  <c r="N7" i="1"/>
  <c r="M7" i="1" s="1"/>
  <c r="K7" i="1"/>
  <c r="X6" i="1"/>
  <c r="W6" i="1"/>
  <c r="K6" i="1"/>
  <c r="L6" i="1" s="1"/>
  <c r="K5" i="1"/>
  <c r="L5" i="1" s="1"/>
  <c r="S5" i="1" s="1"/>
  <c r="N4" i="1"/>
  <c r="M4" i="1" s="1"/>
  <c r="K4" i="1"/>
  <c r="L4" i="1" s="1"/>
  <c r="X3" i="1"/>
  <c r="W3" i="1"/>
  <c r="P34" i="1" l="1"/>
  <c r="L41" i="1"/>
  <c r="O41" i="1" s="1"/>
  <c r="S52" i="1"/>
  <c r="S46" i="1"/>
  <c r="Q17" i="1"/>
  <c r="Q36" i="1"/>
  <c r="Q18" i="1"/>
  <c r="U18" i="1" s="1"/>
  <c r="Z18" i="1" s="1"/>
  <c r="Q50" i="1"/>
  <c r="U50" i="1" s="1"/>
  <c r="P33" i="1"/>
  <c r="Q33" i="1"/>
  <c r="Q47" i="1"/>
  <c r="Q24" i="1"/>
  <c r="U24" i="1" s="1"/>
  <c r="Q32" i="1"/>
  <c r="U32" i="1" s="1"/>
  <c r="X28" i="1"/>
  <c r="Q34" i="1"/>
  <c r="U34" i="1" s="1"/>
  <c r="Z34" i="1" s="1"/>
  <c r="AA34" i="1" s="1"/>
  <c r="S53" i="1"/>
  <c r="X18" i="1"/>
  <c r="X37" i="1"/>
  <c r="X39" i="1"/>
  <c r="P17" i="1"/>
  <c r="V17" i="1" s="1"/>
  <c r="W17" i="1" s="1"/>
  <c r="S11" i="1"/>
  <c r="O16" i="1"/>
  <c r="P16" i="1" s="1"/>
  <c r="U33" i="1"/>
  <c r="Y33" i="1" s="1"/>
  <c r="V18" i="1"/>
  <c r="W18" i="1" s="1"/>
  <c r="X23" i="1"/>
  <c r="V33" i="1"/>
  <c r="W33" i="1" s="1"/>
  <c r="X15" i="1"/>
  <c r="P21" i="1"/>
  <c r="Q23" i="1"/>
  <c r="P27" i="1"/>
  <c r="V27" i="1" s="1"/>
  <c r="W27" i="1" s="1"/>
  <c r="P29" i="1"/>
  <c r="P31" i="1"/>
  <c r="V31" i="1" s="1"/>
  <c r="W31" i="1" s="1"/>
  <c r="P38" i="1"/>
  <c r="P48" i="1"/>
  <c r="V48" i="1" s="1"/>
  <c r="W48" i="1" s="1"/>
  <c r="Q53" i="1"/>
  <c r="P15" i="1"/>
  <c r="V15" i="1" s="1"/>
  <c r="W15" i="1" s="1"/>
  <c r="X20" i="1"/>
  <c r="Q21" i="1"/>
  <c r="Q27" i="1"/>
  <c r="Q29" i="1"/>
  <c r="Q35" i="1"/>
  <c r="U35" i="1" s="1"/>
  <c r="Q38" i="1"/>
  <c r="Q39" i="1"/>
  <c r="U39" i="1" s="1"/>
  <c r="P49" i="1"/>
  <c r="V49" i="1" s="1"/>
  <c r="W49" i="1" s="1"/>
  <c r="X50" i="1"/>
  <c r="P54" i="1"/>
  <c r="V54" i="1" s="1"/>
  <c r="W54" i="1" s="1"/>
  <c r="Q20" i="1"/>
  <c r="U20" i="1" s="1"/>
  <c r="X24" i="1"/>
  <c r="P28" i="1"/>
  <c r="V28" i="1" s="1"/>
  <c r="W28" i="1" s="1"/>
  <c r="P36" i="1"/>
  <c r="Q37" i="1"/>
  <c r="U37" i="1" s="1"/>
  <c r="P47" i="1"/>
  <c r="Q49" i="1"/>
  <c r="U49" i="1" s="1"/>
  <c r="Q54" i="1"/>
  <c r="S8" i="1"/>
  <c r="O8" i="1"/>
  <c r="S14" i="1"/>
  <c r="O14" i="1"/>
  <c r="S7" i="1"/>
  <c r="O7" i="1"/>
  <c r="S9" i="1"/>
  <c r="O9" i="1"/>
  <c r="X9" i="1" s="1"/>
  <c r="S6" i="1"/>
  <c r="O6" i="1"/>
  <c r="P6" i="1" s="1"/>
  <c r="S4" i="1"/>
  <c r="O4" i="1"/>
  <c r="Z44" i="1"/>
  <c r="AE44" i="1" s="1"/>
  <c r="Y44" i="1"/>
  <c r="Q22" i="1"/>
  <c r="X22" i="1"/>
  <c r="Q45" i="1"/>
  <c r="Z33" i="1"/>
  <c r="AA33" i="1" s="1"/>
  <c r="R56" i="1"/>
  <c r="S3" i="1"/>
  <c r="O11" i="1"/>
  <c r="O12" i="1"/>
  <c r="X12" i="1" s="1"/>
  <c r="S16" i="1"/>
  <c r="P19" i="1"/>
  <c r="P22" i="1"/>
  <c r="P26" i="1"/>
  <c r="X26" i="1"/>
  <c r="P25" i="1"/>
  <c r="Q25" i="1"/>
  <c r="S51" i="1"/>
  <c r="O51" i="1"/>
  <c r="M56" i="1"/>
  <c r="O3" i="1"/>
  <c r="O5" i="1"/>
  <c r="O10" i="1"/>
  <c r="O13" i="1"/>
  <c r="U15" i="1"/>
  <c r="X19" i="1"/>
  <c r="V20" i="1"/>
  <c r="W20" i="1" s="1"/>
  <c r="V24" i="1"/>
  <c r="W24" i="1" s="1"/>
  <c r="P30" i="1"/>
  <c r="X30" i="1"/>
  <c r="Q30" i="1"/>
  <c r="V34" i="1"/>
  <c r="W34" i="1" s="1"/>
  <c r="S43" i="1"/>
  <c r="S45" i="1"/>
  <c r="Q31" i="1"/>
  <c r="X32" i="1"/>
  <c r="X35" i="1"/>
  <c r="V39" i="1"/>
  <c r="W39" i="1" s="1"/>
  <c r="P40" i="1"/>
  <c r="P42" i="1"/>
  <c r="Q46" i="1"/>
  <c r="U46" i="1" s="1"/>
  <c r="X48" i="1"/>
  <c r="O52" i="1"/>
  <c r="V53" i="1"/>
  <c r="W53" i="1" s="1"/>
  <c r="U23" i="1"/>
  <c r="V23" i="1"/>
  <c r="W23" i="1" s="1"/>
  <c r="V37" i="1"/>
  <c r="W37" i="1" s="1"/>
  <c r="Q40" i="1"/>
  <c r="P43" i="1"/>
  <c r="V50" i="1"/>
  <c r="W50" i="1" s="1"/>
  <c r="V32" i="1"/>
  <c r="W32" i="1" s="1"/>
  <c r="V35" i="1"/>
  <c r="W35" i="1" s="1"/>
  <c r="S42" i="1"/>
  <c r="S55" i="1"/>
  <c r="U55" i="1" s="1"/>
  <c r="Q41" i="1" l="1"/>
  <c r="P41" i="1"/>
  <c r="S41" i="1"/>
  <c r="U41" i="1" s="1"/>
  <c r="Y41" i="1" s="1"/>
  <c r="L56" i="1"/>
  <c r="U31" i="1"/>
  <c r="X16" i="1"/>
  <c r="Q51" i="1"/>
  <c r="P51" i="1"/>
  <c r="U47" i="1"/>
  <c r="Z47" i="1" s="1"/>
  <c r="U53" i="1"/>
  <c r="Y53" i="1" s="1"/>
  <c r="AE18" i="1"/>
  <c r="V47" i="1"/>
  <c r="W47" i="1" s="1"/>
  <c r="Y34" i="1"/>
  <c r="Y18" i="1"/>
  <c r="U17" i="1"/>
  <c r="Z17" i="1" s="1"/>
  <c r="AE17" i="1" s="1"/>
  <c r="U54" i="1"/>
  <c r="Y54" i="1" s="1"/>
  <c r="Q16" i="1"/>
  <c r="U16" i="1" s="1"/>
  <c r="U43" i="1"/>
  <c r="Z43" i="1" s="1"/>
  <c r="AA43" i="1" s="1"/>
  <c r="U38" i="1"/>
  <c r="V38" i="1"/>
  <c r="W38" i="1" s="1"/>
  <c r="U28" i="1"/>
  <c r="Z28" i="1" s="1"/>
  <c r="AE28" i="1" s="1"/>
  <c r="U21" i="1"/>
  <c r="V21" i="1"/>
  <c r="W21" i="1" s="1"/>
  <c r="U48" i="1"/>
  <c r="Y48" i="1" s="1"/>
  <c r="U27" i="1"/>
  <c r="Z27" i="1" s="1"/>
  <c r="AE27" i="1" s="1"/>
  <c r="U45" i="1"/>
  <c r="Z45" i="1" s="1"/>
  <c r="AA45" i="1" s="1"/>
  <c r="U36" i="1"/>
  <c r="V36" i="1"/>
  <c r="W36" i="1" s="1"/>
  <c r="V29" i="1"/>
  <c r="W29" i="1" s="1"/>
  <c r="U29" i="1"/>
  <c r="Y55" i="1"/>
  <c r="Z55" i="1"/>
  <c r="AE55" i="1" s="1"/>
  <c r="Z46" i="1"/>
  <c r="AA46" i="1" s="1"/>
  <c r="Y46" i="1"/>
  <c r="U25" i="1"/>
  <c r="V25" i="1"/>
  <c r="W25" i="1" s="1"/>
  <c r="Y39" i="1"/>
  <c r="Z39" i="1"/>
  <c r="AE39" i="1" s="1"/>
  <c r="AE47" i="1"/>
  <c r="U30" i="1"/>
  <c r="V30" i="1"/>
  <c r="W30" i="1" s="1"/>
  <c r="Z24" i="1"/>
  <c r="AE24" i="1" s="1"/>
  <c r="Y24" i="1"/>
  <c r="Z15" i="1"/>
  <c r="AE15" i="1" s="1"/>
  <c r="Y15" i="1"/>
  <c r="O56" i="1"/>
  <c r="P3" i="1"/>
  <c r="V19" i="1"/>
  <c r="W19" i="1" s="1"/>
  <c r="U19" i="1"/>
  <c r="S56" i="1"/>
  <c r="AE34" i="1"/>
  <c r="P4" i="1"/>
  <c r="Q4" i="1"/>
  <c r="X4" i="1"/>
  <c r="P9" i="1"/>
  <c r="Q9" i="1"/>
  <c r="Y23" i="1"/>
  <c r="Z23" i="1"/>
  <c r="AE23" i="1" s="1"/>
  <c r="P11" i="1"/>
  <c r="Q11" i="1"/>
  <c r="X11" i="1"/>
  <c r="Q8" i="1"/>
  <c r="P8" i="1"/>
  <c r="X8" i="1"/>
  <c r="Z49" i="1"/>
  <c r="AA49" i="1" s="1"/>
  <c r="Y49" i="1"/>
  <c r="U42" i="1"/>
  <c r="Y27" i="1"/>
  <c r="X13" i="1"/>
  <c r="P13" i="1"/>
  <c r="Q13" i="1"/>
  <c r="X14" i="1"/>
  <c r="Q14" i="1"/>
  <c r="P14" i="1"/>
  <c r="Y31" i="1"/>
  <c r="Z31" i="1"/>
  <c r="AE31" i="1" s="1"/>
  <c r="X5" i="1"/>
  <c r="P5" i="1"/>
  <c r="Q5" i="1"/>
  <c r="V22" i="1"/>
  <c r="W22" i="1" s="1"/>
  <c r="U22" i="1"/>
  <c r="Y35" i="1"/>
  <c r="Z35" i="1"/>
  <c r="AE35" i="1" s="1"/>
  <c r="Y50" i="1"/>
  <c r="Z50" i="1"/>
  <c r="AA50" i="1" s="1"/>
  <c r="Y37" i="1"/>
  <c r="Z37" i="1"/>
  <c r="AE37" i="1" s="1"/>
  <c r="Y32" i="1"/>
  <c r="Z32" i="1"/>
  <c r="AE32" i="1" s="1"/>
  <c r="Q52" i="1"/>
  <c r="P52" i="1"/>
  <c r="V40" i="1"/>
  <c r="W40" i="1" s="1"/>
  <c r="U40" i="1"/>
  <c r="Y20" i="1"/>
  <c r="Z20" i="1"/>
  <c r="AA20" i="1" s="1"/>
  <c r="Q10" i="1"/>
  <c r="P10" i="1"/>
  <c r="V26" i="1"/>
  <c r="W26" i="1" s="1"/>
  <c r="U26" i="1"/>
  <c r="P12" i="1"/>
  <c r="Q12" i="1"/>
  <c r="AE33" i="1"/>
  <c r="V16" i="1"/>
  <c r="W16" i="1" s="1"/>
  <c r="U6" i="1"/>
  <c r="Q7" i="1"/>
  <c r="X7" i="1"/>
  <c r="P7" i="1"/>
  <c r="Z54" i="1" l="1"/>
  <c r="AE54" i="1" s="1"/>
  <c r="Z48" i="1"/>
  <c r="AE48" i="1" s="1"/>
  <c r="Z53" i="1"/>
  <c r="AE53" i="1" s="1"/>
  <c r="Y47" i="1"/>
  <c r="Y43" i="1"/>
  <c r="Y17" i="1"/>
  <c r="Y28" i="1"/>
  <c r="Y45" i="1"/>
  <c r="AE43" i="1"/>
  <c r="Z21" i="1"/>
  <c r="AE21" i="1" s="1"/>
  <c r="Y21" i="1"/>
  <c r="Z41" i="1"/>
  <c r="AA41" i="1" s="1"/>
  <c r="Y36" i="1"/>
  <c r="Z36" i="1"/>
  <c r="AE36" i="1" s="1"/>
  <c r="U10" i="1"/>
  <c r="Y10" i="1" s="1"/>
  <c r="Z29" i="1"/>
  <c r="AA29" i="1" s="1"/>
  <c r="Y29" i="1"/>
  <c r="Z38" i="1"/>
  <c r="AE38" i="1" s="1"/>
  <c r="Y38" i="1"/>
  <c r="Z40" i="1"/>
  <c r="AE40" i="1" s="1"/>
  <c r="Y40" i="1"/>
  <c r="AE45" i="1"/>
  <c r="AE49" i="1"/>
  <c r="X56" i="1"/>
  <c r="Y25" i="1"/>
  <c r="Z25" i="1"/>
  <c r="AE25" i="1" s="1"/>
  <c r="U9" i="1"/>
  <c r="V9" i="1"/>
  <c r="W9" i="1" s="1"/>
  <c r="U5" i="1"/>
  <c r="V5" i="1"/>
  <c r="W5" i="1" s="1"/>
  <c r="Y6" i="1"/>
  <c r="Z6" i="1"/>
  <c r="AA6" i="1" s="1"/>
  <c r="U51" i="1"/>
  <c r="AE20" i="1"/>
  <c r="U52" i="1"/>
  <c r="Y52" i="1" s="1"/>
  <c r="AE52" i="1" s="1"/>
  <c r="AE50" i="1"/>
  <c r="Z22" i="1"/>
  <c r="AE22" i="1" s="1"/>
  <c r="Y22" i="1"/>
  <c r="U14" i="1"/>
  <c r="V14" i="1"/>
  <c r="W14" i="1" s="1"/>
  <c r="V13" i="1"/>
  <c r="W13" i="1" s="1"/>
  <c r="U13" i="1"/>
  <c r="V8" i="1"/>
  <c r="W8" i="1" s="1"/>
  <c r="U8" i="1"/>
  <c r="U11" i="1"/>
  <c r="V11" i="1"/>
  <c r="W11" i="1" s="1"/>
  <c r="Q56" i="1"/>
  <c r="Z19" i="1"/>
  <c r="AE19" i="1" s="1"/>
  <c r="Y19" i="1"/>
  <c r="AE46" i="1"/>
  <c r="Y26" i="1"/>
  <c r="Z26" i="1"/>
  <c r="AA26" i="1" s="1"/>
  <c r="Y30" i="1"/>
  <c r="Z30" i="1"/>
  <c r="AE30" i="1"/>
  <c r="V7" i="1"/>
  <c r="W7" i="1" s="1"/>
  <c r="U7" i="1"/>
  <c r="Z16" i="1"/>
  <c r="AA16" i="1" s="1"/>
  <c r="Y16" i="1"/>
  <c r="U12" i="1"/>
  <c r="V12" i="1"/>
  <c r="W12" i="1" s="1"/>
  <c r="Z42" i="1"/>
  <c r="AE42" i="1" s="1"/>
  <c r="Y42" i="1"/>
  <c r="U4" i="1"/>
  <c r="V4" i="1"/>
  <c r="P56" i="1"/>
  <c r="U3" i="1"/>
  <c r="AE41" i="1" l="1"/>
  <c r="Z10" i="1"/>
  <c r="AE10" i="1" s="1"/>
  <c r="AE16" i="1"/>
  <c r="AE29" i="1"/>
  <c r="AE6" i="1"/>
  <c r="Y14" i="1"/>
  <c r="Z14" i="1"/>
  <c r="AA14" i="1" s="1"/>
  <c r="Y5" i="1"/>
  <c r="Z5" i="1"/>
  <c r="AE5" i="1" s="1"/>
  <c r="Z7" i="1"/>
  <c r="AE7" i="1" s="1"/>
  <c r="Y7" i="1"/>
  <c r="Z51" i="1"/>
  <c r="AE51" i="1" s="1"/>
  <c r="Y51" i="1"/>
  <c r="Y13" i="1"/>
  <c r="Z13" i="1"/>
  <c r="AE13" i="1" s="1"/>
  <c r="AF13" i="1" s="1"/>
  <c r="U56" i="1"/>
  <c r="Z3" i="1"/>
  <c r="AE3" i="1" s="1"/>
  <c r="Y3" i="1"/>
  <c r="Y12" i="1"/>
  <c r="Z12" i="1"/>
  <c r="AE12" i="1" s="1"/>
  <c r="Z8" i="1"/>
  <c r="AE8" i="1" s="1"/>
  <c r="Y8" i="1"/>
  <c r="V56" i="1"/>
  <c r="W4" i="1"/>
  <c r="W56" i="1" s="1"/>
  <c r="Z4" i="1"/>
  <c r="AE26" i="1"/>
  <c r="Y11" i="1"/>
  <c r="Z11" i="1"/>
  <c r="AE11" i="1" s="1"/>
  <c r="Y9" i="1"/>
  <c r="Z9" i="1"/>
  <c r="AE9" i="1" s="1"/>
  <c r="Y4" i="1" l="1"/>
  <c r="AE4" i="1"/>
  <c r="Y56" i="1"/>
  <c r="Z56" i="1"/>
  <c r="AE14" i="1"/>
  <c r="R56" i="2" l="1"/>
  <c r="M41" i="2"/>
  <c r="M56" i="2" s="1"/>
  <c r="S41" i="2" l="1"/>
  <c r="U41" i="2" s="1"/>
  <c r="U56" i="2" s="1"/>
  <c r="Y41" i="2"/>
  <c r="Y56" i="2" s="1"/>
  <c r="Z41" i="2"/>
  <c r="S56" i="2"/>
  <c r="AA41" i="2" l="1"/>
  <c r="Z56" i="2"/>
  <c r="AE41" i="2"/>
  <c r="AE56" i="2" s="1"/>
  <c r="M53" i="4"/>
  <c r="R53" i="4"/>
  <c r="M38" i="4"/>
  <c r="S38" i="4"/>
  <c r="S53" i="4" s="1"/>
  <c r="U38" i="4" l="1"/>
  <c r="U53" i="4" s="1"/>
  <c r="Z38" i="4"/>
  <c r="AE38" i="4" s="1"/>
  <c r="AE53" i="4" s="1"/>
  <c r="Y38" i="4" l="1"/>
  <c r="Y53" i="4" s="1"/>
  <c r="AA38" i="4"/>
  <c r="Z53" i="4"/>
  <c r="M53" i="5"/>
  <c r="R53" i="5"/>
  <c r="M38" i="5"/>
  <c r="S38" i="5" s="1"/>
  <c r="U38" i="5" l="1"/>
  <c r="S53" i="5"/>
  <c r="Z38" i="5" l="1"/>
  <c r="U53" i="5"/>
  <c r="Y38" i="5"/>
  <c r="Y53" i="5" s="1"/>
  <c r="AA38" i="5" l="1"/>
  <c r="Z53" i="5"/>
  <c r="AE38" i="5"/>
  <c r="AE53" i="5" s="1"/>
</calcChain>
</file>

<file path=xl/sharedStrings.xml><?xml version="1.0" encoding="utf-8"?>
<sst xmlns="http://schemas.openxmlformats.org/spreadsheetml/2006/main" count="575" uniqueCount="102">
  <si>
    <t>SL
NO.</t>
  </si>
  <si>
    <t>SI. NO.</t>
  </si>
  <si>
    <t>NAME OF EMPLOYEE</t>
  </si>
  <si>
    <t>CATEGORY</t>
  </si>
  <si>
    <t>GRADE</t>
  </si>
  <si>
    <t>ATTEN DAYS</t>
  </si>
  <si>
    <t>NCP days</t>
  </si>
  <si>
    <t>Extra Work</t>
  </si>
  <si>
    <t>TOTALSalary P.M</t>
  </si>
  <si>
    <t>Salary P.M</t>
  </si>
  <si>
    <t>SALARY 
DAY/MONTH</t>
  </si>
  <si>
    <t>Increase in Salary</t>
  </si>
  <si>
    <t>Increase in Salary Amount</t>
  </si>
  <si>
    <t>Salary</t>
  </si>
  <si>
    <t>BASIC SALARY</t>
  </si>
  <si>
    <t>HRA</t>
  </si>
  <si>
    <t>TA</t>
  </si>
  <si>
    <t>Performance Bonus</t>
  </si>
  <si>
    <t>(For Sunday)  Performance Bonus</t>
  </si>
  <si>
    <t>Total
Salary</t>
  </si>
  <si>
    <t>PF VALUE</t>
  </si>
  <si>
    <t>PF 
DEDUCT</t>
  </si>
  <si>
    <t>ESI 
DEDUCT</t>
  </si>
  <si>
    <t>Salary before P.Tax</t>
  </si>
  <si>
    <t>P TAX
DEDUCT</t>
  </si>
  <si>
    <t>P Tax</t>
  </si>
  <si>
    <t>ADVANCE</t>
  </si>
  <si>
    <t>DEDUCTION FROM EMPLOYEE</t>
  </si>
  <si>
    <t>TDS</t>
  </si>
  <si>
    <t>NET 
PAYABLE</t>
  </si>
  <si>
    <t>GURU PRASAD PATRA</t>
  </si>
  <si>
    <t>OPERATOR</t>
  </si>
  <si>
    <t>Samir Dey</t>
  </si>
  <si>
    <t>ACCOUNTANT</t>
  </si>
  <si>
    <t>SISIR HEMRAM</t>
  </si>
  <si>
    <t>S K SAJAMAL</t>
  </si>
  <si>
    <t>Tapas Chandra Kumar</t>
  </si>
  <si>
    <t>SUPERVISOR</t>
  </si>
  <si>
    <t>Rajiv Kejriwal</t>
  </si>
  <si>
    <t>SALES</t>
  </si>
  <si>
    <t>Tanmay Chakraborty</t>
  </si>
  <si>
    <t>PLANT MANAGER</t>
  </si>
  <si>
    <t>Anupam Mahesh</t>
  </si>
  <si>
    <t>SAUMYA ROY</t>
  </si>
  <si>
    <t>ARGHADIP NAYEK</t>
  </si>
  <si>
    <t>Ashok Ram</t>
  </si>
  <si>
    <t>DRIVER</t>
  </si>
  <si>
    <t>Kajal Senapati</t>
  </si>
  <si>
    <t>Sushanta Ghosh</t>
  </si>
  <si>
    <t>D</t>
  </si>
  <si>
    <t>Keya Patra</t>
  </si>
  <si>
    <t>UNSKILLED</t>
  </si>
  <si>
    <t>Bulti Ghosh</t>
  </si>
  <si>
    <t>C</t>
  </si>
  <si>
    <t>-</t>
  </si>
  <si>
    <t>Mira Prasad</t>
  </si>
  <si>
    <t>Karabi Chakraborty</t>
  </si>
  <si>
    <t>Tarapada Ghosh</t>
  </si>
  <si>
    <t>A</t>
  </si>
  <si>
    <t>Pratima Digar</t>
  </si>
  <si>
    <t>Parimal Ghosh(Security)</t>
  </si>
  <si>
    <t>Monaj Chatterjee(Security)</t>
  </si>
  <si>
    <t>Sunil Sahani</t>
  </si>
  <si>
    <t>SOMNATH MONDAL</t>
  </si>
  <si>
    <t>SUROJIT KOLEY</t>
  </si>
  <si>
    <t>B</t>
  </si>
  <si>
    <t>Abhijit Majhi</t>
  </si>
  <si>
    <t>Samir Santra</t>
  </si>
  <si>
    <t>Biswajit Paul</t>
  </si>
  <si>
    <t>Monojit Pal</t>
  </si>
  <si>
    <t>Jayanta Koley</t>
  </si>
  <si>
    <t>Subhendu Pal</t>
  </si>
  <si>
    <t>Tanmoy Dastanti</t>
  </si>
  <si>
    <t>Baleswar Saha</t>
  </si>
  <si>
    <t>Sanjay Das</t>
  </si>
  <si>
    <t>Asish Dastanti</t>
  </si>
  <si>
    <t>Saikat Ghosh</t>
  </si>
  <si>
    <t xml:space="preserve">Kamal krishna saha </t>
  </si>
  <si>
    <t xml:space="preserve">Soumen patra </t>
  </si>
  <si>
    <t>Bimal hazra</t>
  </si>
  <si>
    <t>Sonal Goenka</t>
  </si>
  <si>
    <t>Rahul Somani</t>
  </si>
  <si>
    <t>Anjali Sodhani</t>
  </si>
  <si>
    <t xml:space="preserve"> </t>
  </si>
  <si>
    <t>Rishi Jhajharia</t>
  </si>
  <si>
    <t>Avijit Mondal</t>
  </si>
  <si>
    <t>Bindu Chirania</t>
  </si>
  <si>
    <t>AJAY MALIK</t>
  </si>
  <si>
    <t>CHANDAN MALIK</t>
  </si>
  <si>
    <t>ALOK BAG</t>
  </si>
  <si>
    <t>CHANDAN VERMA</t>
  </si>
  <si>
    <t>SAGAR CHANDRA MAJHI</t>
  </si>
  <si>
    <t>PUNIT SODHANI</t>
  </si>
  <si>
    <t>BIDYUT RAY</t>
  </si>
  <si>
    <t>Nitish Kumar</t>
  </si>
  <si>
    <t>RAJASHREE KHAN</t>
  </si>
  <si>
    <t>TOTAL</t>
  </si>
  <si>
    <t xml:space="preserve">PAYROLL SHEET FOR THE MONTH OF APRIL-26 NKPL </t>
  </si>
  <si>
    <t xml:space="preserve">PAYROLL SHEET FOR THE MONTH OF MAY-26 NKPL </t>
  </si>
  <si>
    <t xml:space="preserve">PAYROLL SHEET FOR THE MONTH OF JUNE-26 NKPL </t>
  </si>
  <si>
    <t>UTTAM DAS</t>
  </si>
  <si>
    <t xml:space="preserve">PAYROLL SHEET FOR THE MONTH OF JULY-26 NKPL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</si>
</sst>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Calibri"/>
      <family val="2"/>
      <scheme val="minor"/>
    </font>
    <font>
      <sz val="14"/>
      <color theme="1"/>
      <name val="Bookman Old Style"/>
      <family val="1"/>
    </font>
    <font>
      <sz val="12"/>
      <name val="Bookman Old Style"/>
      <family val="1"/>
    </font>
    <font>
      <sz val="14"/>
      <name val="Bookman Old Style"/>
      <family val="1"/>
    </font>
    <font>
      <b/>
      <sz val="14"/>
      <name val="Bookman Old Style"/>
      <family val="1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6" fillId="0" borderId="1" xfId="0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43" fontId="6" fillId="0" borderId="1" xfId="0" applyNumberFormat="1" applyFont="1" applyBorder="1"/>
    <xf numFmtId="1" fontId="6" fillId="0" borderId="1" xfId="1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right"/>
    </xf>
    <xf numFmtId="164" fontId="6" fillId="0" borderId="1" xfId="0" applyNumberFormat="1" applyFont="1" applyFill="1" applyBorder="1"/>
    <xf numFmtId="1" fontId="2" fillId="0" borderId="0" xfId="0" applyNumberFormat="1" applyFont="1" applyFill="1"/>
    <xf numFmtId="0" fontId="2" fillId="0" borderId="1" xfId="0" applyFont="1" applyFill="1" applyBorder="1" applyAlignment="1">
      <alignment horizontal="center"/>
    </xf>
    <xf numFmtId="165" fontId="6" fillId="0" borderId="1" xfId="0" applyNumberFormat="1" applyFont="1" applyFill="1" applyBorder="1"/>
    <xf numFmtId="1" fontId="6" fillId="0" borderId="1" xfId="0" applyNumberFormat="1" applyFont="1" applyFill="1" applyBorder="1" applyAlignment="1">
      <alignment horizontal="right"/>
    </xf>
    <xf numFmtId="43" fontId="6" fillId="0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" fontId="6" fillId="3" borderId="1" xfId="1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right"/>
    </xf>
    <xf numFmtId="164" fontId="2" fillId="0" borderId="0" xfId="0" applyNumberFormat="1" applyFont="1" applyFill="1" applyAlignment="1">
      <alignment horizontal="right" vertical="top"/>
    </xf>
    <xf numFmtId="43" fontId="2" fillId="0" borderId="0" xfId="0" applyNumberFormat="1" applyFont="1" applyFill="1"/>
    <xf numFmtId="0" fontId="3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/>
    <xf numFmtId="164" fontId="8" fillId="0" borderId="1" xfId="0" applyNumberFormat="1" applyFont="1" applyFill="1" applyBorder="1"/>
    <xf numFmtId="165" fontId="8" fillId="0" borderId="1" xfId="0" applyNumberFormat="1" applyFont="1" applyFill="1" applyBorder="1"/>
    <xf numFmtId="1" fontId="8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/>
    </xf>
    <xf numFmtId="0" fontId="0" fillId="0" borderId="0" xfId="0" applyFill="1"/>
    <xf numFmtId="0" fontId="6" fillId="0" borderId="1" xfId="0" applyFont="1" applyFill="1" applyBorder="1" applyAlignment="1"/>
    <xf numFmtId="164" fontId="2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/>
    <xf numFmtId="43" fontId="6" fillId="3" borderId="1" xfId="0" applyNumberFormat="1" applyFont="1" applyFill="1" applyBorder="1"/>
    <xf numFmtId="164" fontId="2" fillId="3" borderId="0" xfId="0" applyNumberFormat="1" applyFont="1" applyFill="1"/>
    <xf numFmtId="0" fontId="0" fillId="3" borderId="0" xfId="0" applyFill="1"/>
    <xf numFmtId="0" fontId="2" fillId="4" borderId="1" xfId="0" applyFont="1" applyFill="1" applyBorder="1"/>
    <xf numFmtId="0" fontId="6" fillId="4" borderId="1" xfId="0" applyFont="1" applyFill="1" applyBorder="1"/>
    <xf numFmtId="0" fontId="3" fillId="4" borderId="1" xfId="0" applyFont="1" applyFill="1" applyBorder="1"/>
    <xf numFmtId="1" fontId="6" fillId="4" borderId="1" xfId="0" applyNumberFormat="1" applyFont="1" applyFill="1" applyBorder="1"/>
    <xf numFmtId="164" fontId="6" fillId="4" borderId="1" xfId="0" applyNumberFormat="1" applyFont="1" applyFill="1" applyBorder="1"/>
    <xf numFmtId="1" fontId="6" fillId="5" borderId="1" xfId="1" applyNumberFormat="1" applyFont="1" applyFill="1" applyBorder="1" applyAlignment="1">
      <alignment horizontal="center"/>
    </xf>
    <xf numFmtId="164" fontId="6" fillId="5" borderId="1" xfId="0" applyNumberFormat="1" applyFont="1" applyFill="1" applyBorder="1"/>
    <xf numFmtId="164" fontId="6" fillId="5" borderId="1" xfId="1" applyNumberFormat="1" applyFont="1" applyFill="1" applyBorder="1" applyAlignment="1">
      <alignment horizontal="center"/>
    </xf>
    <xf numFmtId="43" fontId="0" fillId="0" borderId="0" xfId="1" applyFont="1" applyFill="1"/>
    <xf numFmtId="43" fontId="0" fillId="0" borderId="0" xfId="0" applyNumberFormat="1" applyFill="1"/>
    <xf numFmtId="164" fontId="6" fillId="2" borderId="1" xfId="0" applyNumberFormat="1" applyFont="1" applyFill="1" applyBorder="1"/>
    <xf numFmtId="0" fontId="2" fillId="0" borderId="5" xfId="0" applyFont="1" applyBorder="1" applyAlignment="1"/>
    <xf numFmtId="0" fontId="2" fillId="0" borderId="0" xfId="0" applyFont="1" applyBorder="1" applyAlignment="1"/>
    <xf numFmtId="0" fontId="2" fillId="0" borderId="1" xfId="0" applyFont="1" applyBorder="1" applyAlignment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4" fillId="0" borderId="7" xfId="0" applyFont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3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/>
    <xf numFmtId="165" fontId="6" fillId="6" borderId="1" xfId="0" applyNumberFormat="1" applyFont="1" applyFill="1" applyBorder="1"/>
    <xf numFmtId="1" fontId="6" fillId="6" borderId="1" xfId="1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right"/>
    </xf>
    <xf numFmtId="164" fontId="2" fillId="6" borderId="0" xfId="0" applyNumberFormat="1" applyFont="1" applyFill="1"/>
    <xf numFmtId="0" fontId="0" fillId="6" borderId="0" xfId="0" applyFill="1"/>
    <xf numFmtId="164" fontId="2" fillId="3" borderId="0" xfId="0" applyNumberFormat="1" applyFont="1" applyFill="1" applyAlignment="1">
      <alignment horizontal="right" vertical="top"/>
    </xf>
    <xf numFmtId="43" fontId="2" fillId="3" borderId="0" xfId="0" applyNumberFormat="1" applyFont="1" applyFill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0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10" fillId="0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5"/>
  <sheetViews>
    <sheetView topLeftCell="B1" zoomScale="78" zoomScaleNormal="78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C22" sqref="C22"/>
    </sheetView>
  </sheetViews>
  <sheetFormatPr defaultRowHeight="15" x14ac:dyDescent="0.25"/>
  <cols>
    <col min="1" max="1" width="0" hidden="1" customWidth="1"/>
    <col min="2" max="2" width="7.28515625" customWidth="1"/>
    <col min="3" max="3" width="38" customWidth="1"/>
    <col min="4" max="4" width="25.5703125" hidden="1" customWidth="1"/>
    <col min="5" max="5" width="12.140625" hidden="1" customWidth="1"/>
    <col min="6" max="6" width="8.140625" bestFit="1" customWidth="1"/>
    <col min="9" max="9" width="0" hidden="1" customWidth="1"/>
    <col min="10" max="11" width="9.85546875" bestFit="1" customWidth="1"/>
    <col min="12" max="12" width="12.85546875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3" s="56" customFormat="1" ht="25.5" customHeight="1" x14ac:dyDescent="0.25">
      <c r="A1" s="54"/>
      <c r="B1" s="83" t="s">
        <v>97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55"/>
    </row>
    <row r="2" spans="1:33" s="4" customFormat="1" ht="94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2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3"/>
    </row>
    <row r="3" spans="1:33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27</v>
      </c>
      <c r="G3" s="7">
        <f>30-F3</f>
        <v>3</v>
      </c>
      <c r="H3" s="7">
        <v>1</v>
      </c>
      <c r="I3" s="7"/>
      <c r="J3" s="7">
        <v>26200</v>
      </c>
      <c r="K3" s="7">
        <v>19500</v>
      </c>
      <c r="L3" s="8">
        <f>K3/30</f>
        <v>650</v>
      </c>
      <c r="M3" s="8">
        <f>N3/30</f>
        <v>223.33333333333334</v>
      </c>
      <c r="N3" s="9">
        <f>1000+1000+2000+700+2000</f>
        <v>6700</v>
      </c>
      <c r="O3" s="8">
        <f>L3*F3</f>
        <v>17550</v>
      </c>
      <c r="P3" s="8">
        <f>O3*1</f>
        <v>17550</v>
      </c>
      <c r="Q3" s="10">
        <v>0</v>
      </c>
      <c r="R3" s="8">
        <f>(1000+1000+2000+700+2000)/30*F3</f>
        <v>6030</v>
      </c>
      <c r="S3" s="9">
        <f t="shared" ref="S3:S16" si="0">(L3+M3)*H3</f>
        <v>873.33333333333337</v>
      </c>
      <c r="T3" s="8">
        <v>150</v>
      </c>
      <c r="U3" s="8">
        <f t="shared" ref="U3:U40" si="1">P3+Q3+S3+R3+T3</f>
        <v>24603.333333333332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24603.333333333332</v>
      </c>
      <c r="Z3" s="11">
        <f>IF(U3&gt;40000,200,IF(U3&gt;25000,150,IF(U3&gt;15000,130,IF(U3&gt;10000,110,0))))</f>
        <v>130</v>
      </c>
      <c r="AA3" s="12">
        <v>130</v>
      </c>
      <c r="AB3" s="8"/>
      <c r="AC3" s="10"/>
      <c r="AD3" s="10"/>
      <c r="AE3" s="53">
        <f>U3-W3-X3-Z3-AB3</f>
        <v>24473.333333333332</v>
      </c>
      <c r="AF3" s="14"/>
    </row>
    <row r="4" spans="1:33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29</v>
      </c>
      <c r="G4" s="7">
        <f t="shared" ref="G4:G55" si="2">30-F4</f>
        <v>1</v>
      </c>
      <c r="H4" s="6"/>
      <c r="I4" s="6"/>
      <c r="J4" s="6">
        <v>13500</v>
      </c>
      <c r="K4" s="6">
        <f>11000</f>
        <v>11000</v>
      </c>
      <c r="L4" s="8">
        <f t="shared" ref="L4:L14" si="3">K4/30</f>
        <v>366.66666666666669</v>
      </c>
      <c r="M4" s="8">
        <f t="shared" ref="M4:M14" si="4">N4/30</f>
        <v>83.333333333333329</v>
      </c>
      <c r="N4" s="16">
        <f>2000+500</f>
        <v>2500</v>
      </c>
      <c r="O4" s="13">
        <f t="shared" ref="O4:O25" si="5">L4*F4</f>
        <v>10633.333333333334</v>
      </c>
      <c r="P4" s="13">
        <f>O4*0.7</f>
        <v>7443.333333333333</v>
      </c>
      <c r="Q4" s="13">
        <f t="shared" ref="Q4:Q5" si="6">O4*0.3</f>
        <v>3190</v>
      </c>
      <c r="R4" s="13">
        <f>(1000+600+400+500)/30*F4</f>
        <v>2416.6666666666665</v>
      </c>
      <c r="S4" s="16">
        <f t="shared" si="0"/>
        <v>0</v>
      </c>
      <c r="T4" s="13"/>
      <c r="U4" s="8">
        <f t="shared" si="1"/>
        <v>13049.999999999998</v>
      </c>
      <c r="V4" s="13">
        <f>P4</f>
        <v>7443.333333333333</v>
      </c>
      <c r="W4" s="13">
        <f>ROUND(IF(V4&lt;=15000,V4*12%,IF(V4&gt;15000,0)),0)</f>
        <v>893</v>
      </c>
      <c r="X4" s="8">
        <f t="shared" ref="X4:X55" si="7">IF(J4&lt;=21000,ROUNDUP(O4*0.75%,0),0)</f>
        <v>80</v>
      </c>
      <c r="Y4" s="8">
        <f t="shared" ref="Y4:Y54" si="8">U4-W4-X4</f>
        <v>12076.999999999998</v>
      </c>
      <c r="Z4" s="11">
        <f t="shared" ref="Z4:Z54" si="9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11966.999999999998</v>
      </c>
      <c r="AF4" s="14"/>
    </row>
    <row r="5" spans="1:33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27</v>
      </c>
      <c r="G5" s="7">
        <f t="shared" si="2"/>
        <v>3</v>
      </c>
      <c r="H5" s="7"/>
      <c r="I5" s="7"/>
      <c r="J5" s="7">
        <v>16950</v>
      </c>
      <c r="K5" s="7">
        <f>11000+1000</f>
        <v>12000</v>
      </c>
      <c r="L5" s="8">
        <f t="shared" si="3"/>
        <v>400</v>
      </c>
      <c r="M5" s="8">
        <f t="shared" si="4"/>
        <v>165</v>
      </c>
      <c r="N5" s="9">
        <f>1000+1000+1500+700+750</f>
        <v>4950</v>
      </c>
      <c r="O5" s="8">
        <f t="shared" si="5"/>
        <v>10800</v>
      </c>
      <c r="P5" s="8">
        <f>O5*0.7</f>
        <v>7559.9999999999991</v>
      </c>
      <c r="Q5" s="13">
        <f t="shared" si="6"/>
        <v>3240</v>
      </c>
      <c r="R5" s="8">
        <f>(1000+1000+1500+700+800)/30*F5</f>
        <v>4500</v>
      </c>
      <c r="S5" s="9">
        <f t="shared" si="0"/>
        <v>0</v>
      </c>
      <c r="T5" s="8"/>
      <c r="U5" s="8">
        <f t="shared" si="1"/>
        <v>15300</v>
      </c>
      <c r="V5" s="8">
        <f>P5</f>
        <v>7559.9999999999991</v>
      </c>
      <c r="W5" s="8">
        <f>ROUND(IF(V5&lt;=15000,V5*12%,IF(V5&gt;15000,0)),0)</f>
        <v>907</v>
      </c>
      <c r="X5" s="8">
        <f t="shared" si="7"/>
        <v>81</v>
      </c>
      <c r="Y5" s="8">
        <f t="shared" si="8"/>
        <v>14312</v>
      </c>
      <c r="Z5" s="11">
        <f t="shared" si="9"/>
        <v>130</v>
      </c>
      <c r="AA5" s="17">
        <v>110</v>
      </c>
      <c r="AB5" s="10"/>
      <c r="AC5" s="10"/>
      <c r="AD5" s="10"/>
      <c r="AE5" s="53">
        <f>U5-W5-X5-Z5-AB5</f>
        <v>14182</v>
      </c>
      <c r="AF5" s="14"/>
    </row>
    <row r="6" spans="1:33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28</v>
      </c>
      <c r="G6" s="6">
        <f t="shared" si="2"/>
        <v>2</v>
      </c>
      <c r="H6" s="6"/>
      <c r="I6" s="6"/>
      <c r="J6" s="6">
        <v>22700</v>
      </c>
      <c r="K6" s="6">
        <f>16000+1000</f>
        <v>17000</v>
      </c>
      <c r="L6" s="13">
        <f t="shared" si="3"/>
        <v>566.66666666666663</v>
      </c>
      <c r="M6" s="13">
        <f t="shared" si="4"/>
        <v>190</v>
      </c>
      <c r="N6" s="16">
        <f>1000+1000+1500+700+1500</f>
        <v>5700</v>
      </c>
      <c r="O6" s="13">
        <f t="shared" si="5"/>
        <v>15866.666666666666</v>
      </c>
      <c r="P6" s="13">
        <f>O6*1</f>
        <v>15866.666666666666</v>
      </c>
      <c r="Q6" s="13">
        <v>0</v>
      </c>
      <c r="R6" s="13">
        <f>(1000+1000+1500+700+1500)/30*F6</f>
        <v>5320</v>
      </c>
      <c r="S6" s="16">
        <f t="shared" si="0"/>
        <v>0</v>
      </c>
      <c r="T6" s="13"/>
      <c r="U6" s="13">
        <f t="shared" si="1"/>
        <v>21186.666666666664</v>
      </c>
      <c r="V6" s="13">
        <v>0</v>
      </c>
      <c r="W6" s="13">
        <f>IF(V6&lt;=15000,V6*12%,IF(V6&gt;15000,0))</f>
        <v>0</v>
      </c>
      <c r="X6" s="13">
        <f t="shared" si="7"/>
        <v>0</v>
      </c>
      <c r="Y6" s="13">
        <f t="shared" si="8"/>
        <v>21186.666666666664</v>
      </c>
      <c r="Z6" s="11">
        <f t="shared" si="9"/>
        <v>130</v>
      </c>
      <c r="AA6" s="17">
        <f t="shared" ref="AA6:AA52" si="10">Z6</f>
        <v>130</v>
      </c>
      <c r="AB6" s="13"/>
      <c r="AC6" s="18"/>
      <c r="AD6" s="18"/>
      <c r="AE6" s="13">
        <f>U6-W6-X6-Z6-AB6</f>
        <v>21056.666666666664</v>
      </c>
      <c r="AF6" s="14"/>
    </row>
    <row r="7" spans="1:33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29</v>
      </c>
      <c r="G7" s="7">
        <f t="shared" si="2"/>
        <v>1</v>
      </c>
      <c r="H7" s="7"/>
      <c r="I7" s="7"/>
      <c r="J7" s="7">
        <v>14500</v>
      </c>
      <c r="K7" s="7">
        <f>9500+700</f>
        <v>10200</v>
      </c>
      <c r="L7" s="8">
        <f t="shared" si="3"/>
        <v>340</v>
      </c>
      <c r="M7" s="8">
        <f t="shared" si="4"/>
        <v>143.33333333333334</v>
      </c>
      <c r="N7" s="9">
        <f>2800+1500</f>
        <v>4300</v>
      </c>
      <c r="O7" s="8">
        <f t="shared" si="5"/>
        <v>9860</v>
      </c>
      <c r="P7" s="8">
        <f t="shared" ref="P7:P43" si="11">O7*0.7</f>
        <v>6902</v>
      </c>
      <c r="Q7" s="13">
        <f>O7*0.3</f>
        <v>2958</v>
      </c>
      <c r="R7" s="8">
        <f>(800+1000+1000+1500)/30*F7</f>
        <v>4156.666666666667</v>
      </c>
      <c r="S7" s="9">
        <f t="shared" si="0"/>
        <v>0</v>
      </c>
      <c r="T7" s="8"/>
      <c r="U7" s="8">
        <f t="shared" si="1"/>
        <v>14016.666666666668</v>
      </c>
      <c r="V7" s="8">
        <f>P7</f>
        <v>6902</v>
      </c>
      <c r="W7" s="8">
        <f t="shared" ref="W7:W41" si="12">ROUND(IF(V7&lt;=15000,V7*12%,IF(V7&gt;15000,0)),0)</f>
        <v>828</v>
      </c>
      <c r="X7" s="8">
        <f t="shared" si="7"/>
        <v>74</v>
      </c>
      <c r="Y7" s="8">
        <f t="shared" si="8"/>
        <v>13114.666666666668</v>
      </c>
      <c r="Z7" s="11">
        <f t="shared" si="9"/>
        <v>110</v>
      </c>
      <c r="AA7" s="17">
        <v>110</v>
      </c>
      <c r="AB7" s="8"/>
      <c r="AC7" s="8"/>
      <c r="AD7" s="8"/>
      <c r="AE7" s="13">
        <f>(U7-W7-X7-Z7-AB7)</f>
        <v>13004.666666666668</v>
      </c>
      <c r="AF7" s="14"/>
    </row>
    <row r="8" spans="1:33" ht="18" hidden="1" customHeight="1" x14ac:dyDescent="0.25">
      <c r="A8" s="5">
        <v>6</v>
      </c>
      <c r="B8" s="5">
        <v>6</v>
      </c>
      <c r="C8" s="6" t="s">
        <v>38</v>
      </c>
      <c r="D8" s="7" t="s">
        <v>39</v>
      </c>
      <c r="E8" s="7"/>
      <c r="F8" s="7">
        <v>23</v>
      </c>
      <c r="G8" s="7">
        <f t="shared" si="2"/>
        <v>7</v>
      </c>
      <c r="H8" s="7"/>
      <c r="I8" s="7"/>
      <c r="J8" s="7">
        <v>18000</v>
      </c>
      <c r="K8" s="7">
        <f>12000+1000</f>
        <v>13000</v>
      </c>
      <c r="L8" s="8">
        <f t="shared" si="3"/>
        <v>433.33333333333331</v>
      </c>
      <c r="M8" s="8">
        <f t="shared" si="4"/>
        <v>166.66666666666666</v>
      </c>
      <c r="N8" s="9">
        <f>2000+500+500+1000+1000</f>
        <v>5000</v>
      </c>
      <c r="O8" s="8">
        <f t="shared" si="5"/>
        <v>9966.6666666666661</v>
      </c>
      <c r="P8" s="8">
        <f t="shared" si="11"/>
        <v>6976.6666666666661</v>
      </c>
      <c r="Q8" s="13">
        <f>O8*0.3</f>
        <v>2989.9999999999995</v>
      </c>
      <c r="R8" s="8">
        <f>(1000+1000+500+500+1000+1000)/30*F8</f>
        <v>3833.333333333333</v>
      </c>
      <c r="S8" s="9">
        <f t="shared" si="0"/>
        <v>0</v>
      </c>
      <c r="T8" s="8"/>
      <c r="U8" s="8">
        <f t="shared" si="1"/>
        <v>13800</v>
      </c>
      <c r="V8" s="8">
        <f>P8</f>
        <v>6976.6666666666661</v>
      </c>
      <c r="W8" s="8">
        <f t="shared" si="12"/>
        <v>837</v>
      </c>
      <c r="X8" s="8">
        <f t="shared" si="7"/>
        <v>75</v>
      </c>
      <c r="Y8" s="8">
        <f t="shared" si="8"/>
        <v>12888</v>
      </c>
      <c r="Z8" s="11">
        <f t="shared" si="9"/>
        <v>110</v>
      </c>
      <c r="AA8" s="17">
        <v>110</v>
      </c>
      <c r="AB8" s="8"/>
      <c r="AC8" s="8"/>
      <c r="AD8" s="8"/>
      <c r="AE8" s="13">
        <f>(U8-W8-X8-Z8-AB8)</f>
        <v>12778</v>
      </c>
      <c r="AF8" s="14"/>
    </row>
    <row r="9" spans="1:33" s="35" customFormat="1" ht="18" x14ac:dyDescent="0.25">
      <c r="A9" s="15">
        <v>7</v>
      </c>
      <c r="B9" s="15">
        <v>7</v>
      </c>
      <c r="C9" s="6" t="s">
        <v>40</v>
      </c>
      <c r="D9" s="6" t="s">
        <v>41</v>
      </c>
      <c r="E9" s="6"/>
      <c r="F9" s="6">
        <v>28</v>
      </c>
      <c r="G9" s="6">
        <f t="shared" si="2"/>
        <v>2</v>
      </c>
      <c r="H9" s="6"/>
      <c r="I9" s="6"/>
      <c r="J9" s="6">
        <v>20300</v>
      </c>
      <c r="K9" s="6">
        <f>12000+1000+1000</f>
        <v>14000</v>
      </c>
      <c r="L9" s="13">
        <f t="shared" si="3"/>
        <v>466.66666666666669</v>
      </c>
      <c r="M9" s="13">
        <f t="shared" si="4"/>
        <v>210</v>
      </c>
      <c r="N9" s="16">
        <f>4000+1500+800</f>
        <v>6300</v>
      </c>
      <c r="O9" s="13">
        <f t="shared" si="5"/>
        <v>13066.666666666668</v>
      </c>
      <c r="P9" s="13">
        <f t="shared" si="11"/>
        <v>9146.6666666666661</v>
      </c>
      <c r="Q9" s="13">
        <f t="shared" ref="Q9:Q41" si="13">O9*0.3</f>
        <v>3920</v>
      </c>
      <c r="R9" s="13">
        <f>(1000+1000+1000+1000+1500+800)/30*F9</f>
        <v>5880</v>
      </c>
      <c r="S9" s="16">
        <f t="shared" si="0"/>
        <v>0</v>
      </c>
      <c r="T9" s="13"/>
      <c r="U9" s="13">
        <f t="shared" si="1"/>
        <v>18946.666666666664</v>
      </c>
      <c r="V9" s="13">
        <f>P9</f>
        <v>9146.6666666666661</v>
      </c>
      <c r="W9" s="13">
        <f t="shared" si="12"/>
        <v>1098</v>
      </c>
      <c r="X9" s="13">
        <f>IF(J9&lt;=21000,ROUNDUP(O9*0.75%,0),0)</f>
        <v>98</v>
      </c>
      <c r="Y9" s="13">
        <f t="shared" si="8"/>
        <v>17750.666666666664</v>
      </c>
      <c r="Z9" s="11">
        <f t="shared" si="9"/>
        <v>130</v>
      </c>
      <c r="AA9" s="17">
        <v>130</v>
      </c>
      <c r="AB9" s="13"/>
      <c r="AC9" s="13"/>
      <c r="AD9" s="13"/>
      <c r="AE9" s="13">
        <f>U9-W9-X9-Z9-AB9</f>
        <v>17620.666666666664</v>
      </c>
      <c r="AF9" s="14"/>
    </row>
    <row r="10" spans="1:33" ht="18" x14ac:dyDescent="0.25">
      <c r="A10" s="15">
        <v>8</v>
      </c>
      <c r="B10" s="15">
        <v>8</v>
      </c>
      <c r="C10" s="6" t="s">
        <v>42</v>
      </c>
      <c r="D10" s="6" t="s">
        <v>31</v>
      </c>
      <c r="E10" s="6"/>
      <c r="F10" s="7">
        <v>26</v>
      </c>
      <c r="G10" s="7">
        <f t="shared" si="2"/>
        <v>4</v>
      </c>
      <c r="H10" s="6">
        <v>1</v>
      </c>
      <c r="I10" s="6"/>
      <c r="J10" s="6">
        <f>30000+2000</f>
        <v>32000</v>
      </c>
      <c r="K10" s="6">
        <v>28000</v>
      </c>
      <c r="L10" s="8">
        <f t="shared" si="3"/>
        <v>933.33333333333337</v>
      </c>
      <c r="M10" s="8">
        <f t="shared" si="4"/>
        <v>133.33333333333334</v>
      </c>
      <c r="N10" s="16">
        <f>2000+2000</f>
        <v>4000</v>
      </c>
      <c r="O10" s="13">
        <f t="shared" si="5"/>
        <v>24266.666666666668</v>
      </c>
      <c r="P10" s="13">
        <f>O10*1</f>
        <v>24266.666666666668</v>
      </c>
      <c r="Q10" s="13">
        <f>O10*0</f>
        <v>0</v>
      </c>
      <c r="R10" s="8">
        <f>(2000+2000)/30*F10</f>
        <v>3466.666666666667</v>
      </c>
      <c r="S10" s="16">
        <f t="shared" si="0"/>
        <v>1066.6666666666667</v>
      </c>
      <c r="T10" s="13">
        <v>150</v>
      </c>
      <c r="U10" s="8">
        <f t="shared" si="1"/>
        <v>28950.000000000004</v>
      </c>
      <c r="V10" s="13">
        <v>0</v>
      </c>
      <c r="W10" s="13">
        <f t="shared" si="12"/>
        <v>0</v>
      </c>
      <c r="X10" s="8">
        <f t="shared" si="7"/>
        <v>0</v>
      </c>
      <c r="Y10" s="8">
        <f t="shared" si="8"/>
        <v>28950.000000000004</v>
      </c>
      <c r="Z10" s="11">
        <f t="shared" si="9"/>
        <v>150</v>
      </c>
      <c r="AA10" s="17">
        <v>150</v>
      </c>
      <c r="AB10" s="13"/>
      <c r="AC10" s="13"/>
      <c r="AD10" s="13"/>
      <c r="AE10" s="13">
        <f>U10-W10-X10-Z10-AB10-AC10</f>
        <v>28800.000000000004</v>
      </c>
      <c r="AF10" s="14"/>
    </row>
    <row r="11" spans="1:33" ht="18" x14ac:dyDescent="0.25">
      <c r="A11" s="15">
        <v>9</v>
      </c>
      <c r="B11" s="15">
        <v>9</v>
      </c>
      <c r="C11" s="6" t="s">
        <v>43</v>
      </c>
      <c r="D11" s="6" t="s">
        <v>33</v>
      </c>
      <c r="E11" s="6"/>
      <c r="F11" s="7">
        <v>28</v>
      </c>
      <c r="G11" s="7">
        <f t="shared" si="2"/>
        <v>2</v>
      </c>
      <c r="H11" s="6"/>
      <c r="I11" s="6"/>
      <c r="J11" s="6">
        <v>15000</v>
      </c>
      <c r="K11" s="6">
        <v>11000</v>
      </c>
      <c r="L11" s="8">
        <f t="shared" si="3"/>
        <v>366.66666666666669</v>
      </c>
      <c r="M11" s="8">
        <f t="shared" si="4"/>
        <v>133.33333333333334</v>
      </c>
      <c r="N11" s="16">
        <f>3000+1000</f>
        <v>4000</v>
      </c>
      <c r="O11" s="13">
        <f>L11*F11</f>
        <v>10266.666666666668</v>
      </c>
      <c r="P11" s="13">
        <f t="shared" ref="P11:P12" si="14">O11*0.7</f>
        <v>7186.666666666667</v>
      </c>
      <c r="Q11" s="13">
        <f t="shared" ref="Q11:Q12" si="15">O11*0.3</f>
        <v>3080.0000000000005</v>
      </c>
      <c r="R11" s="8">
        <f>(3000+1000)/30*F11</f>
        <v>3733.3333333333335</v>
      </c>
      <c r="S11" s="16">
        <f t="shared" si="0"/>
        <v>0</v>
      </c>
      <c r="T11" s="13"/>
      <c r="U11" s="8">
        <f t="shared" si="1"/>
        <v>14000.000000000002</v>
      </c>
      <c r="V11" s="13">
        <f t="shared" ref="V11:V40" si="16">P11</f>
        <v>7186.666666666667</v>
      </c>
      <c r="W11" s="13">
        <f t="shared" si="12"/>
        <v>862</v>
      </c>
      <c r="X11" s="8">
        <f t="shared" si="7"/>
        <v>77</v>
      </c>
      <c r="Y11" s="8">
        <f t="shared" si="8"/>
        <v>13061.000000000002</v>
      </c>
      <c r="Z11" s="11">
        <f t="shared" si="9"/>
        <v>110</v>
      </c>
      <c r="AA11" s="17">
        <v>130</v>
      </c>
      <c r="AB11" s="13"/>
      <c r="AC11" s="13"/>
      <c r="AD11" s="13"/>
      <c r="AE11" s="13">
        <f t="shared" ref="AE11:AE18" si="17">U11-W11-X11-Z11-AB11</f>
        <v>12951.000000000002</v>
      </c>
      <c r="AF11" s="14"/>
    </row>
    <row r="12" spans="1:33" ht="18" x14ac:dyDescent="0.25">
      <c r="A12" s="15">
        <v>9</v>
      </c>
      <c r="B12" s="15">
        <v>10</v>
      </c>
      <c r="C12" s="6" t="s">
        <v>44</v>
      </c>
      <c r="D12" s="6" t="s">
        <v>31</v>
      </c>
      <c r="E12" s="6"/>
      <c r="F12" s="7">
        <v>29</v>
      </c>
      <c r="G12" s="7">
        <f t="shared" si="2"/>
        <v>1</v>
      </c>
      <c r="H12" s="6"/>
      <c r="I12" s="6"/>
      <c r="J12" s="6">
        <v>22500</v>
      </c>
      <c r="K12" s="6">
        <v>16700</v>
      </c>
      <c r="L12" s="8">
        <f t="shared" si="3"/>
        <v>556.66666666666663</v>
      </c>
      <c r="M12" s="8">
        <f t="shared" si="4"/>
        <v>193.33333333333334</v>
      </c>
      <c r="N12" s="16">
        <f>3300+1000+1500</f>
        <v>5800</v>
      </c>
      <c r="O12" s="13">
        <f>L12*F12</f>
        <v>16143.333333333332</v>
      </c>
      <c r="P12" s="13">
        <f t="shared" si="14"/>
        <v>11300.333333333332</v>
      </c>
      <c r="Q12" s="13">
        <f t="shared" si="15"/>
        <v>4842.9999999999991</v>
      </c>
      <c r="R12" s="8">
        <f>(3300+1000+1500)/30*F12</f>
        <v>5606.666666666667</v>
      </c>
      <c r="S12" s="16">
        <f t="shared" si="0"/>
        <v>0</v>
      </c>
      <c r="T12" s="13"/>
      <c r="U12" s="8">
        <f>P12+Q12+S12+R12+T12</f>
        <v>21750</v>
      </c>
      <c r="V12" s="13">
        <f t="shared" si="16"/>
        <v>11300.333333333332</v>
      </c>
      <c r="W12" s="13">
        <f>ROUND(IF(V12&lt;=15000,V12*12%,IF(V12&gt;15000,0)),0)</f>
        <v>1356</v>
      </c>
      <c r="X12" s="8">
        <f t="shared" si="7"/>
        <v>0</v>
      </c>
      <c r="Y12" s="8">
        <f t="shared" si="8"/>
        <v>20394</v>
      </c>
      <c r="Z12" s="11">
        <f t="shared" si="9"/>
        <v>130</v>
      </c>
      <c r="AA12" s="17">
        <v>130</v>
      </c>
      <c r="AB12" s="13"/>
      <c r="AC12" s="13"/>
      <c r="AD12" s="13"/>
      <c r="AE12" s="53">
        <f t="shared" si="17"/>
        <v>20264</v>
      </c>
      <c r="AF12" s="14"/>
    </row>
    <row r="13" spans="1:33" ht="18" x14ac:dyDescent="0.25">
      <c r="A13" s="19">
        <v>10</v>
      </c>
      <c r="B13" s="19">
        <v>11</v>
      </c>
      <c r="C13" s="20" t="s">
        <v>45</v>
      </c>
      <c r="D13" s="20" t="s">
        <v>46</v>
      </c>
      <c r="E13" s="20"/>
      <c r="F13" s="20">
        <v>17</v>
      </c>
      <c r="G13" s="20">
        <f t="shared" si="2"/>
        <v>13</v>
      </c>
      <c r="H13" s="20"/>
      <c r="I13" s="20"/>
      <c r="J13" s="20">
        <v>19000</v>
      </c>
      <c r="K13" s="20">
        <f>13500+1200+1000</f>
        <v>15700</v>
      </c>
      <c r="L13" s="21">
        <f t="shared" si="3"/>
        <v>523.33333333333337</v>
      </c>
      <c r="M13" s="21">
        <f t="shared" si="4"/>
        <v>110</v>
      </c>
      <c r="N13" s="22">
        <f>1000+1300+1000</f>
        <v>3300</v>
      </c>
      <c r="O13" s="21">
        <f>L13*F13</f>
        <v>8896.6666666666679</v>
      </c>
      <c r="P13" s="21">
        <f t="shared" si="11"/>
        <v>6227.666666666667</v>
      </c>
      <c r="Q13" s="21">
        <f t="shared" si="13"/>
        <v>2669.0000000000005</v>
      </c>
      <c r="R13" s="21">
        <f>(1000+1300+1000)/30*F13</f>
        <v>1870</v>
      </c>
      <c r="S13" s="22">
        <f t="shared" si="0"/>
        <v>0</v>
      </c>
      <c r="T13" s="21"/>
      <c r="U13" s="21">
        <f t="shared" si="1"/>
        <v>10766.666666666668</v>
      </c>
      <c r="V13" s="21">
        <f t="shared" si="16"/>
        <v>6227.666666666667</v>
      </c>
      <c r="W13" s="21">
        <f t="shared" si="12"/>
        <v>747</v>
      </c>
      <c r="X13" s="21">
        <f t="shared" si="7"/>
        <v>67</v>
      </c>
      <c r="Y13" s="21">
        <f t="shared" si="8"/>
        <v>9952.6666666666679</v>
      </c>
      <c r="Z13" s="23">
        <f t="shared" si="9"/>
        <v>110</v>
      </c>
      <c r="AA13" s="24">
        <v>130</v>
      </c>
      <c r="AB13" s="21"/>
      <c r="AC13" s="21"/>
      <c r="AD13" s="21"/>
      <c r="AE13" s="21">
        <f t="shared" si="17"/>
        <v>9842.6666666666679</v>
      </c>
      <c r="AF13" s="25">
        <f>AE13-700</f>
        <v>9142.6666666666679</v>
      </c>
    </row>
    <row r="14" spans="1:33" ht="18" x14ac:dyDescent="0.25">
      <c r="A14" s="19">
        <v>11</v>
      </c>
      <c r="B14" s="19">
        <v>12</v>
      </c>
      <c r="C14" s="20" t="s">
        <v>47</v>
      </c>
      <c r="D14" s="20"/>
      <c r="E14" s="20"/>
      <c r="F14" s="20">
        <v>30</v>
      </c>
      <c r="G14" s="20">
        <f t="shared" si="2"/>
        <v>0</v>
      </c>
      <c r="H14" s="20"/>
      <c r="I14" s="20"/>
      <c r="J14" s="20">
        <v>7000</v>
      </c>
      <c r="K14" s="20">
        <f>5500+500</f>
        <v>6000</v>
      </c>
      <c r="L14" s="21">
        <f t="shared" si="3"/>
        <v>200</v>
      </c>
      <c r="M14" s="21">
        <f t="shared" si="4"/>
        <v>33.333333333333336</v>
      </c>
      <c r="N14" s="22">
        <f>500+500</f>
        <v>1000</v>
      </c>
      <c r="O14" s="21">
        <f>L14*F14</f>
        <v>6000</v>
      </c>
      <c r="P14" s="21">
        <f t="shared" si="11"/>
        <v>4200</v>
      </c>
      <c r="Q14" s="21">
        <f t="shared" si="13"/>
        <v>1800</v>
      </c>
      <c r="R14" s="21">
        <f>(500+500)/30*F14</f>
        <v>1000.0000000000001</v>
      </c>
      <c r="S14" s="22">
        <f t="shared" si="0"/>
        <v>0</v>
      </c>
      <c r="T14" s="21"/>
      <c r="U14" s="21">
        <f t="shared" si="1"/>
        <v>7000</v>
      </c>
      <c r="V14" s="21">
        <f t="shared" si="16"/>
        <v>4200</v>
      </c>
      <c r="W14" s="21">
        <f t="shared" si="12"/>
        <v>504</v>
      </c>
      <c r="X14" s="21">
        <f t="shared" si="7"/>
        <v>45</v>
      </c>
      <c r="Y14" s="21">
        <f t="shared" si="8"/>
        <v>6451</v>
      </c>
      <c r="Z14" s="23">
        <f t="shared" si="9"/>
        <v>0</v>
      </c>
      <c r="AA14" s="24">
        <f t="shared" si="10"/>
        <v>0</v>
      </c>
      <c r="AB14" s="21"/>
      <c r="AC14" s="21"/>
      <c r="AD14" s="21"/>
      <c r="AE14" s="21">
        <f t="shared" si="17"/>
        <v>6451</v>
      </c>
      <c r="AF14" s="26"/>
    </row>
    <row r="15" spans="1:33" ht="18.75" x14ac:dyDescent="0.3">
      <c r="A15" s="15">
        <v>12</v>
      </c>
      <c r="B15" s="15">
        <v>13</v>
      </c>
      <c r="C15" s="6" t="s">
        <v>48</v>
      </c>
      <c r="D15" s="6"/>
      <c r="E15" s="6"/>
      <c r="F15" s="7">
        <v>28</v>
      </c>
      <c r="G15" s="7">
        <f t="shared" si="2"/>
        <v>2</v>
      </c>
      <c r="H15" s="6"/>
      <c r="I15" s="27" t="s">
        <v>49</v>
      </c>
      <c r="J15" s="27"/>
      <c r="K15" s="6"/>
      <c r="L15" s="13">
        <v>320</v>
      </c>
      <c r="M15" s="16">
        <v>20</v>
      </c>
      <c r="N15" s="16"/>
      <c r="O15" s="13">
        <f t="shared" ref="O15:O21" si="18">L15*F15</f>
        <v>8960</v>
      </c>
      <c r="P15" s="13">
        <f t="shared" si="11"/>
        <v>6272</v>
      </c>
      <c r="Q15" s="13">
        <f t="shared" si="13"/>
        <v>2688</v>
      </c>
      <c r="R15" s="13">
        <f>20*F15</f>
        <v>560</v>
      </c>
      <c r="S15" s="13">
        <f t="shared" ref="S15" si="19">H15*(L15+M15)</f>
        <v>0</v>
      </c>
      <c r="T15" s="13"/>
      <c r="U15" s="8">
        <f t="shared" si="1"/>
        <v>9520</v>
      </c>
      <c r="V15" s="13">
        <f t="shared" si="16"/>
        <v>6272</v>
      </c>
      <c r="W15" s="13">
        <f t="shared" si="12"/>
        <v>753</v>
      </c>
      <c r="X15" s="8">
        <f t="shared" si="7"/>
        <v>68</v>
      </c>
      <c r="Y15" s="8">
        <f t="shared" si="8"/>
        <v>8699</v>
      </c>
      <c r="Z15" s="11">
        <f t="shared" si="9"/>
        <v>0</v>
      </c>
      <c r="AA15" s="17"/>
      <c r="AB15" s="13"/>
      <c r="AC15" s="13"/>
      <c r="AD15" s="13"/>
      <c r="AE15" s="13">
        <f>U15-W15-X15-Z15-AB15-AC15</f>
        <v>8699</v>
      </c>
      <c r="AF15" s="14"/>
      <c r="AG15" s="79">
        <f>(F15+H15)*15</f>
        <v>420</v>
      </c>
    </row>
    <row r="16" spans="1:33" ht="18.75" x14ac:dyDescent="0.3">
      <c r="A16" s="28">
        <v>13</v>
      </c>
      <c r="B16" s="28">
        <v>14</v>
      </c>
      <c r="C16" s="29" t="s">
        <v>50</v>
      </c>
      <c r="D16" s="29" t="s">
        <v>51</v>
      </c>
      <c r="E16" s="29"/>
      <c r="F16" s="7">
        <v>29</v>
      </c>
      <c r="G16" s="7">
        <f t="shared" si="2"/>
        <v>1</v>
      </c>
      <c r="H16" s="29"/>
      <c r="I16" s="29"/>
      <c r="J16" s="29">
        <v>6800</v>
      </c>
      <c r="K16" s="29">
        <f>6500</f>
        <v>6500</v>
      </c>
      <c r="L16" s="30">
        <f>K16/30</f>
        <v>216.66666666666666</v>
      </c>
      <c r="M16" s="30">
        <f>N16/30</f>
        <v>10</v>
      </c>
      <c r="N16" s="31">
        <v>300</v>
      </c>
      <c r="O16" s="30">
        <f t="shared" si="18"/>
        <v>6283.333333333333</v>
      </c>
      <c r="P16" s="30">
        <f t="shared" si="11"/>
        <v>4398.333333333333</v>
      </c>
      <c r="Q16" s="30">
        <f t="shared" si="13"/>
        <v>1884.9999999999998</v>
      </c>
      <c r="R16" s="30">
        <f>300/30*F16</f>
        <v>290</v>
      </c>
      <c r="S16" s="31">
        <f t="shared" si="0"/>
        <v>0</v>
      </c>
      <c r="T16" s="30"/>
      <c r="U16" s="8">
        <f t="shared" si="1"/>
        <v>6573.333333333333</v>
      </c>
      <c r="V16" s="30">
        <f t="shared" si="16"/>
        <v>4398.333333333333</v>
      </c>
      <c r="W16" s="30">
        <f t="shared" si="12"/>
        <v>528</v>
      </c>
      <c r="X16" s="8">
        <f t="shared" si="7"/>
        <v>48</v>
      </c>
      <c r="Y16" s="8">
        <f t="shared" si="8"/>
        <v>5997.333333333333</v>
      </c>
      <c r="Z16" s="11">
        <f t="shared" si="9"/>
        <v>0</v>
      </c>
      <c r="AA16" s="32">
        <f t="shared" si="10"/>
        <v>0</v>
      </c>
      <c r="AB16" s="30"/>
      <c r="AC16" s="30"/>
      <c r="AD16" s="30"/>
      <c r="AE16" s="30">
        <f t="shared" si="17"/>
        <v>5997.333333333333</v>
      </c>
      <c r="AF16" s="14"/>
      <c r="AG16" s="79"/>
    </row>
    <row r="17" spans="1:33" ht="18.75" x14ac:dyDescent="0.3">
      <c r="A17" s="15">
        <v>14</v>
      </c>
      <c r="B17" s="15">
        <v>15</v>
      </c>
      <c r="C17" s="6" t="s">
        <v>52</v>
      </c>
      <c r="D17" s="6" t="s">
        <v>51</v>
      </c>
      <c r="E17" s="6"/>
      <c r="F17" s="7">
        <v>29</v>
      </c>
      <c r="G17" s="7">
        <f t="shared" si="2"/>
        <v>1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8"/>
        <v>9280</v>
      </c>
      <c r="P17" s="13">
        <f t="shared" si="11"/>
        <v>6496</v>
      </c>
      <c r="Q17" s="13">
        <f t="shared" si="13"/>
        <v>2784</v>
      </c>
      <c r="R17" s="13">
        <f>15*F17</f>
        <v>435</v>
      </c>
      <c r="S17" s="13">
        <f t="shared" ref="S17:S54" si="20">H17*(L17+M17)</f>
        <v>0</v>
      </c>
      <c r="T17" s="13"/>
      <c r="U17" s="8">
        <f t="shared" si="1"/>
        <v>9715</v>
      </c>
      <c r="V17" s="13">
        <f t="shared" si="16"/>
        <v>6496</v>
      </c>
      <c r="W17" s="13">
        <f t="shared" si="12"/>
        <v>780</v>
      </c>
      <c r="X17" s="8">
        <f t="shared" si="7"/>
        <v>70</v>
      </c>
      <c r="Y17" s="8">
        <f t="shared" si="8"/>
        <v>8865</v>
      </c>
      <c r="Z17" s="11">
        <f t="shared" si="9"/>
        <v>0</v>
      </c>
      <c r="AA17" s="17" t="s">
        <v>54</v>
      </c>
      <c r="AB17" s="13"/>
      <c r="AC17" s="13"/>
      <c r="AD17" s="13"/>
      <c r="AE17" s="13">
        <f t="shared" si="17"/>
        <v>8865</v>
      </c>
      <c r="AF17" s="14"/>
      <c r="AG17" s="79"/>
    </row>
    <row r="18" spans="1:33" ht="18.75" x14ac:dyDescent="0.3">
      <c r="A18" s="15">
        <v>15</v>
      </c>
      <c r="B18" s="15">
        <v>16</v>
      </c>
      <c r="C18" s="6" t="s">
        <v>55</v>
      </c>
      <c r="D18" s="6" t="s">
        <v>51</v>
      </c>
      <c r="E18" s="6"/>
      <c r="F18" s="7">
        <v>27</v>
      </c>
      <c r="G18" s="7">
        <f t="shared" si="2"/>
        <v>3</v>
      </c>
      <c r="H18" s="6"/>
      <c r="I18" s="27" t="s">
        <v>53</v>
      </c>
      <c r="J18" s="27"/>
      <c r="K18" s="6"/>
      <c r="L18" s="13">
        <v>320</v>
      </c>
      <c r="M18" s="16">
        <v>15</v>
      </c>
      <c r="N18" s="16"/>
      <c r="O18" s="13">
        <f t="shared" si="18"/>
        <v>8640</v>
      </c>
      <c r="P18" s="13">
        <f t="shared" si="11"/>
        <v>6048</v>
      </c>
      <c r="Q18" s="13">
        <f t="shared" si="13"/>
        <v>2592</v>
      </c>
      <c r="R18" s="13">
        <f>15*F18</f>
        <v>405</v>
      </c>
      <c r="S18" s="13">
        <f t="shared" si="20"/>
        <v>0</v>
      </c>
      <c r="T18" s="13"/>
      <c r="U18" s="8">
        <f t="shared" si="1"/>
        <v>9045</v>
      </c>
      <c r="V18" s="13">
        <f t="shared" si="16"/>
        <v>6048</v>
      </c>
      <c r="W18" s="13">
        <f t="shared" si="12"/>
        <v>726</v>
      </c>
      <c r="X18" s="8">
        <f t="shared" si="7"/>
        <v>65</v>
      </c>
      <c r="Y18" s="8">
        <f t="shared" si="8"/>
        <v>8254</v>
      </c>
      <c r="Z18" s="11">
        <f t="shared" si="9"/>
        <v>0</v>
      </c>
      <c r="AA18" s="17" t="s">
        <v>54</v>
      </c>
      <c r="AB18" s="13"/>
      <c r="AC18" s="13"/>
      <c r="AD18" s="13"/>
      <c r="AE18" s="13">
        <f t="shared" si="17"/>
        <v>8254</v>
      </c>
      <c r="AF18" s="14"/>
      <c r="AG18" s="79"/>
    </row>
    <row r="19" spans="1:33" ht="18.75" x14ac:dyDescent="0.3">
      <c r="A19" s="15">
        <v>19</v>
      </c>
      <c r="B19" s="15">
        <v>17</v>
      </c>
      <c r="C19" s="6" t="s">
        <v>56</v>
      </c>
      <c r="D19" s="6"/>
      <c r="E19" s="6"/>
      <c r="F19" s="7">
        <v>27</v>
      </c>
      <c r="G19" s="7">
        <f t="shared" si="2"/>
        <v>3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8"/>
        <v>8640</v>
      </c>
      <c r="P19" s="13">
        <f t="shared" si="11"/>
        <v>6048</v>
      </c>
      <c r="Q19" s="13">
        <f t="shared" si="13"/>
        <v>2592</v>
      </c>
      <c r="R19" s="13">
        <f>15*F19</f>
        <v>405</v>
      </c>
      <c r="S19" s="13">
        <f t="shared" si="20"/>
        <v>0</v>
      </c>
      <c r="T19" s="13"/>
      <c r="U19" s="8">
        <f t="shared" si="1"/>
        <v>9045</v>
      </c>
      <c r="V19" s="13">
        <f t="shared" si="16"/>
        <v>6048</v>
      </c>
      <c r="W19" s="13">
        <f t="shared" si="12"/>
        <v>726</v>
      </c>
      <c r="X19" s="8">
        <f t="shared" si="7"/>
        <v>65</v>
      </c>
      <c r="Y19" s="8">
        <f t="shared" si="8"/>
        <v>8254</v>
      </c>
      <c r="Z19" s="11">
        <f t="shared" si="9"/>
        <v>0</v>
      </c>
      <c r="AA19" s="17">
        <v>0</v>
      </c>
      <c r="AB19" s="13"/>
      <c r="AC19" s="13"/>
      <c r="AD19" s="13"/>
      <c r="AE19" s="30">
        <f>U19-W19-X19-Z19-AB19-AC19</f>
        <v>8254</v>
      </c>
      <c r="AF19" s="14"/>
      <c r="AG19" s="79"/>
    </row>
    <row r="20" spans="1:33" ht="18.75" x14ac:dyDescent="0.3">
      <c r="A20" s="15">
        <v>20</v>
      </c>
      <c r="B20" s="15">
        <v>18</v>
      </c>
      <c r="C20" s="6" t="s">
        <v>57</v>
      </c>
      <c r="D20" s="6"/>
      <c r="E20" s="6"/>
      <c r="F20" s="7">
        <v>26</v>
      </c>
      <c r="G20" s="7">
        <f t="shared" si="2"/>
        <v>4</v>
      </c>
      <c r="H20" s="6"/>
      <c r="I20" s="27" t="s">
        <v>58</v>
      </c>
      <c r="J20" s="27"/>
      <c r="K20" s="6"/>
      <c r="L20" s="13">
        <v>320</v>
      </c>
      <c r="M20" s="16">
        <v>65</v>
      </c>
      <c r="N20" s="16"/>
      <c r="O20" s="13">
        <f t="shared" si="18"/>
        <v>8320</v>
      </c>
      <c r="P20" s="13">
        <f t="shared" si="11"/>
        <v>5824</v>
      </c>
      <c r="Q20" s="13">
        <f t="shared" si="13"/>
        <v>2496</v>
      </c>
      <c r="R20" s="13">
        <f>65*F20</f>
        <v>1690</v>
      </c>
      <c r="S20" s="13">
        <f t="shared" si="20"/>
        <v>0</v>
      </c>
      <c r="T20" s="13"/>
      <c r="U20" s="8">
        <f t="shared" si="1"/>
        <v>10010</v>
      </c>
      <c r="V20" s="13">
        <f t="shared" si="16"/>
        <v>5824</v>
      </c>
      <c r="W20" s="13">
        <f t="shared" si="12"/>
        <v>699</v>
      </c>
      <c r="X20" s="8">
        <f t="shared" si="7"/>
        <v>63</v>
      </c>
      <c r="Y20" s="8">
        <f t="shared" si="8"/>
        <v>9248</v>
      </c>
      <c r="Z20" s="11">
        <f t="shared" si="9"/>
        <v>110</v>
      </c>
      <c r="AA20" s="17">
        <f>Z20</f>
        <v>110</v>
      </c>
      <c r="AB20" s="13"/>
      <c r="AC20" s="13"/>
      <c r="AD20" s="13"/>
      <c r="AE20" s="13">
        <f>U20-W20-X20-Z20-AB20</f>
        <v>9138</v>
      </c>
      <c r="AF20" s="14"/>
      <c r="AG20" s="79"/>
    </row>
    <row r="21" spans="1:33" ht="18.75" x14ac:dyDescent="0.3">
      <c r="A21" s="15">
        <v>21</v>
      </c>
      <c r="B21" s="15">
        <v>19</v>
      </c>
      <c r="C21" s="33" t="s">
        <v>59</v>
      </c>
      <c r="D21" s="6"/>
      <c r="E21" s="6"/>
      <c r="F21" s="7">
        <v>26</v>
      </c>
      <c r="G21" s="7">
        <f t="shared" si="2"/>
        <v>4</v>
      </c>
      <c r="H21" s="6"/>
      <c r="I21" s="27" t="s">
        <v>53</v>
      </c>
      <c r="J21" s="27"/>
      <c r="K21" s="6"/>
      <c r="L21" s="13">
        <v>320</v>
      </c>
      <c r="M21" s="16">
        <v>15</v>
      </c>
      <c r="N21" s="16"/>
      <c r="O21" s="13">
        <f t="shared" si="18"/>
        <v>8320</v>
      </c>
      <c r="P21" s="13">
        <f t="shared" si="11"/>
        <v>5824</v>
      </c>
      <c r="Q21" s="13">
        <f t="shared" si="13"/>
        <v>2496</v>
      </c>
      <c r="R21" s="13">
        <f>15*F21</f>
        <v>390</v>
      </c>
      <c r="S21" s="13">
        <f t="shared" si="20"/>
        <v>0</v>
      </c>
      <c r="T21" s="13"/>
      <c r="U21" s="8">
        <f t="shared" si="1"/>
        <v>8710</v>
      </c>
      <c r="V21" s="13">
        <f t="shared" si="16"/>
        <v>5824</v>
      </c>
      <c r="W21" s="13">
        <f t="shared" si="12"/>
        <v>699</v>
      </c>
      <c r="X21" s="8">
        <f t="shared" si="7"/>
        <v>63</v>
      </c>
      <c r="Y21" s="8">
        <f t="shared" si="8"/>
        <v>7948</v>
      </c>
      <c r="Z21" s="11">
        <f t="shared" si="9"/>
        <v>0</v>
      </c>
      <c r="AA21" s="17"/>
      <c r="AB21" s="13"/>
      <c r="AC21" s="13"/>
      <c r="AD21" s="13"/>
      <c r="AE21" s="13">
        <f>U21-W21-X21-Z21-AB21-AC21</f>
        <v>7948</v>
      </c>
      <c r="AF21" s="14"/>
      <c r="AG21" s="79"/>
    </row>
    <row r="22" spans="1:33" s="35" customFormat="1" ht="18.75" x14ac:dyDescent="0.3">
      <c r="A22" s="28">
        <v>22</v>
      </c>
      <c r="B22" s="28">
        <v>20</v>
      </c>
      <c r="C22" s="29" t="s">
        <v>60</v>
      </c>
      <c r="D22" s="29" t="s">
        <v>51</v>
      </c>
      <c r="E22" s="29"/>
      <c r="F22" s="7">
        <v>30</v>
      </c>
      <c r="G22" s="7">
        <f t="shared" si="2"/>
        <v>0</v>
      </c>
      <c r="H22" s="29">
        <v>1</v>
      </c>
      <c r="I22" s="34" t="s">
        <v>49</v>
      </c>
      <c r="J22" s="34"/>
      <c r="K22" s="29"/>
      <c r="L22" s="30">
        <v>220</v>
      </c>
      <c r="M22" s="31">
        <v>10</v>
      </c>
      <c r="N22" s="31"/>
      <c r="O22" s="30">
        <f>L22*F22</f>
        <v>6600</v>
      </c>
      <c r="P22" s="30">
        <f t="shared" si="11"/>
        <v>4620</v>
      </c>
      <c r="Q22" s="30">
        <f t="shared" si="13"/>
        <v>1980</v>
      </c>
      <c r="R22" s="30">
        <f>10*F22</f>
        <v>300</v>
      </c>
      <c r="S22" s="30">
        <f t="shared" si="20"/>
        <v>230</v>
      </c>
      <c r="T22" s="30"/>
      <c r="U22" s="13">
        <f t="shared" si="1"/>
        <v>7130</v>
      </c>
      <c r="V22" s="30">
        <f t="shared" si="16"/>
        <v>4620</v>
      </c>
      <c r="W22" s="30">
        <f t="shared" si="12"/>
        <v>554</v>
      </c>
      <c r="X22" s="13">
        <f t="shared" si="7"/>
        <v>50</v>
      </c>
      <c r="Y22" s="13">
        <f t="shared" si="8"/>
        <v>6526</v>
      </c>
      <c r="Z22" s="11">
        <f t="shared" si="9"/>
        <v>0</v>
      </c>
      <c r="AA22" s="32"/>
      <c r="AB22" s="30"/>
      <c r="AC22" s="30"/>
      <c r="AD22" s="30"/>
      <c r="AE22" s="30">
        <f t="shared" ref="AE22:AE42" si="21">U22-W22-X22-Z22-AB22</f>
        <v>6526</v>
      </c>
      <c r="AF22" s="14"/>
      <c r="AG22" s="79"/>
    </row>
    <row r="23" spans="1:33" s="35" customFormat="1" ht="18.75" x14ac:dyDescent="0.3">
      <c r="A23" s="15">
        <v>23</v>
      </c>
      <c r="B23" s="15">
        <v>21</v>
      </c>
      <c r="C23" s="36" t="s">
        <v>61</v>
      </c>
      <c r="D23" s="6" t="s">
        <v>51</v>
      </c>
      <c r="E23" s="6"/>
      <c r="F23" s="7">
        <v>30</v>
      </c>
      <c r="G23" s="7">
        <f t="shared" si="2"/>
        <v>0</v>
      </c>
      <c r="H23" s="6">
        <v>1</v>
      </c>
      <c r="I23" s="27" t="s">
        <v>58</v>
      </c>
      <c r="J23" s="27"/>
      <c r="K23" s="6"/>
      <c r="L23" s="13">
        <v>220</v>
      </c>
      <c r="M23" s="16">
        <v>10</v>
      </c>
      <c r="N23" s="16"/>
      <c r="O23" s="13">
        <f t="shared" si="5"/>
        <v>6600</v>
      </c>
      <c r="P23" s="13">
        <f t="shared" si="11"/>
        <v>4620</v>
      </c>
      <c r="Q23" s="13">
        <f t="shared" si="13"/>
        <v>1980</v>
      </c>
      <c r="R23" s="13">
        <f>10*F23</f>
        <v>300</v>
      </c>
      <c r="S23" s="13">
        <f t="shared" si="20"/>
        <v>230</v>
      </c>
      <c r="T23" s="13"/>
      <c r="U23" s="13">
        <f t="shared" si="1"/>
        <v>7130</v>
      </c>
      <c r="V23" s="13">
        <f t="shared" si="16"/>
        <v>4620</v>
      </c>
      <c r="W23" s="13">
        <f t="shared" si="12"/>
        <v>554</v>
      </c>
      <c r="X23" s="13">
        <f t="shared" si="7"/>
        <v>50</v>
      </c>
      <c r="Y23" s="13">
        <f t="shared" si="8"/>
        <v>6526</v>
      </c>
      <c r="Z23" s="11">
        <f t="shared" si="9"/>
        <v>0</v>
      </c>
      <c r="AA23" s="17">
        <v>110</v>
      </c>
      <c r="AB23" s="13"/>
      <c r="AC23" s="13"/>
      <c r="AD23" s="13"/>
      <c r="AE23" s="13">
        <f t="shared" si="21"/>
        <v>6526</v>
      </c>
      <c r="AF23" s="14"/>
      <c r="AG23" s="79"/>
    </row>
    <row r="24" spans="1:33" s="35" customFormat="1" ht="18.75" x14ac:dyDescent="0.3">
      <c r="A24" s="15">
        <v>24</v>
      </c>
      <c r="B24" s="15">
        <v>22</v>
      </c>
      <c r="C24" s="6" t="s">
        <v>62</v>
      </c>
      <c r="D24" s="6"/>
      <c r="E24" s="6"/>
      <c r="F24" s="7">
        <v>30</v>
      </c>
      <c r="G24" s="7">
        <f t="shared" si="2"/>
        <v>0</v>
      </c>
      <c r="H24" s="6"/>
      <c r="I24" s="27" t="s">
        <v>58</v>
      </c>
      <c r="J24" s="27"/>
      <c r="K24" s="6"/>
      <c r="L24" s="13">
        <v>335</v>
      </c>
      <c r="M24" s="16">
        <f>25+25</f>
        <v>50</v>
      </c>
      <c r="N24" s="16"/>
      <c r="O24" s="13">
        <f t="shared" si="5"/>
        <v>10050</v>
      </c>
      <c r="P24" s="13">
        <f t="shared" si="11"/>
        <v>7035</v>
      </c>
      <c r="Q24" s="13">
        <f t="shared" si="13"/>
        <v>3015</v>
      </c>
      <c r="R24" s="13">
        <f>(25+25)*F24</f>
        <v>1500</v>
      </c>
      <c r="S24" s="13">
        <f t="shared" si="20"/>
        <v>0</v>
      </c>
      <c r="T24" s="13"/>
      <c r="U24" s="13">
        <f t="shared" si="1"/>
        <v>11550</v>
      </c>
      <c r="V24" s="13">
        <f t="shared" si="16"/>
        <v>7035</v>
      </c>
      <c r="W24" s="13">
        <f t="shared" si="12"/>
        <v>844</v>
      </c>
      <c r="X24" s="13">
        <f t="shared" si="7"/>
        <v>76</v>
      </c>
      <c r="Y24" s="13">
        <f t="shared" si="8"/>
        <v>10630</v>
      </c>
      <c r="Z24" s="11">
        <f t="shared" si="9"/>
        <v>110</v>
      </c>
      <c r="AA24" s="17"/>
      <c r="AB24" s="13"/>
      <c r="AC24" s="13"/>
      <c r="AD24" s="13"/>
      <c r="AE24" s="13">
        <f>U24-W24-X24-Z24-AB24-AC24</f>
        <v>10520</v>
      </c>
      <c r="AF24" s="14"/>
      <c r="AG24" s="79">
        <f t="shared" ref="AG24:AG54" si="22">(F24+H24)*15</f>
        <v>450</v>
      </c>
    </row>
    <row r="25" spans="1:33" ht="18.75" x14ac:dyDescent="0.3">
      <c r="A25" s="15">
        <v>25</v>
      </c>
      <c r="B25" s="15">
        <v>23</v>
      </c>
      <c r="C25" s="6" t="s">
        <v>63</v>
      </c>
      <c r="D25" s="6" t="s">
        <v>51</v>
      </c>
      <c r="E25" s="6"/>
      <c r="F25" s="7">
        <v>29</v>
      </c>
      <c r="G25" s="7">
        <f t="shared" si="2"/>
        <v>1</v>
      </c>
      <c r="H25" s="6"/>
      <c r="I25" s="27" t="s">
        <v>58</v>
      </c>
      <c r="J25" s="27"/>
      <c r="K25" s="6"/>
      <c r="L25" s="13">
        <v>335</v>
      </c>
      <c r="M25" s="16">
        <f>25+25</f>
        <v>50</v>
      </c>
      <c r="N25" s="16"/>
      <c r="O25" s="13">
        <f t="shared" si="5"/>
        <v>9715</v>
      </c>
      <c r="P25" s="13">
        <f t="shared" si="11"/>
        <v>6800.5</v>
      </c>
      <c r="Q25" s="13">
        <f t="shared" si="13"/>
        <v>2914.5</v>
      </c>
      <c r="R25" s="13">
        <f>(25+25)*F25</f>
        <v>1450</v>
      </c>
      <c r="S25" s="13">
        <f t="shared" si="20"/>
        <v>0</v>
      </c>
      <c r="T25" s="13"/>
      <c r="U25" s="8">
        <f t="shared" si="1"/>
        <v>11165</v>
      </c>
      <c r="V25" s="13">
        <f t="shared" si="16"/>
        <v>6800.5</v>
      </c>
      <c r="W25" s="13">
        <f t="shared" si="12"/>
        <v>816</v>
      </c>
      <c r="X25" s="8">
        <f t="shared" si="7"/>
        <v>73</v>
      </c>
      <c r="Y25" s="8">
        <f t="shared" si="8"/>
        <v>10276</v>
      </c>
      <c r="Z25" s="11">
        <f t="shared" si="9"/>
        <v>110</v>
      </c>
      <c r="AA25" s="17">
        <v>110</v>
      </c>
      <c r="AB25" s="13"/>
      <c r="AC25" s="13"/>
      <c r="AD25" s="13"/>
      <c r="AE25" s="13">
        <f t="shared" si="21"/>
        <v>10166</v>
      </c>
      <c r="AF25" s="14"/>
      <c r="AG25" s="79">
        <f t="shared" si="22"/>
        <v>435</v>
      </c>
    </row>
    <row r="26" spans="1:33" ht="18.75" x14ac:dyDescent="0.3">
      <c r="A26" s="15">
        <v>26</v>
      </c>
      <c r="B26" s="15">
        <v>24</v>
      </c>
      <c r="C26" s="6" t="s">
        <v>64</v>
      </c>
      <c r="D26" s="6" t="s">
        <v>51</v>
      </c>
      <c r="E26" s="6"/>
      <c r="F26" s="7">
        <v>28</v>
      </c>
      <c r="G26" s="7">
        <f t="shared" si="2"/>
        <v>2</v>
      </c>
      <c r="H26" s="6"/>
      <c r="I26" s="27" t="s">
        <v>65</v>
      </c>
      <c r="J26" s="27"/>
      <c r="K26" s="6"/>
      <c r="L26" s="13">
        <v>335</v>
      </c>
      <c r="M26" s="16">
        <f>25+10</f>
        <v>35</v>
      </c>
      <c r="N26" s="16"/>
      <c r="O26" s="13">
        <f>L26*F26</f>
        <v>9380</v>
      </c>
      <c r="P26" s="13">
        <f t="shared" si="11"/>
        <v>6566</v>
      </c>
      <c r="Q26" s="13">
        <f t="shared" si="13"/>
        <v>2814</v>
      </c>
      <c r="R26" s="13">
        <f>(25+10)*F26</f>
        <v>980</v>
      </c>
      <c r="S26" s="13">
        <f t="shared" si="20"/>
        <v>0</v>
      </c>
      <c r="T26" s="13"/>
      <c r="U26" s="8">
        <f t="shared" si="1"/>
        <v>10360</v>
      </c>
      <c r="V26" s="13">
        <f t="shared" si="16"/>
        <v>6566</v>
      </c>
      <c r="W26" s="13">
        <f t="shared" si="12"/>
        <v>788</v>
      </c>
      <c r="X26" s="8">
        <f t="shared" si="7"/>
        <v>71</v>
      </c>
      <c r="Y26" s="8">
        <f t="shared" si="8"/>
        <v>9501</v>
      </c>
      <c r="Z26" s="11">
        <f t="shared" si="9"/>
        <v>110</v>
      </c>
      <c r="AA26" s="17">
        <f t="shared" si="10"/>
        <v>110</v>
      </c>
      <c r="AB26" s="13"/>
      <c r="AC26" s="13"/>
      <c r="AD26" s="13"/>
      <c r="AE26" s="13">
        <f t="shared" si="21"/>
        <v>9391</v>
      </c>
      <c r="AF26" s="26"/>
      <c r="AG26" s="79">
        <f t="shared" si="22"/>
        <v>420</v>
      </c>
    </row>
    <row r="27" spans="1:33" ht="18.75" x14ac:dyDescent="0.3">
      <c r="A27" s="15">
        <v>27</v>
      </c>
      <c r="B27" s="15">
        <v>25</v>
      </c>
      <c r="C27" s="6" t="s">
        <v>66</v>
      </c>
      <c r="D27" s="6" t="s">
        <v>51</v>
      </c>
      <c r="E27" s="6"/>
      <c r="F27" s="7">
        <v>30</v>
      </c>
      <c r="G27" s="7">
        <f t="shared" si="2"/>
        <v>0</v>
      </c>
      <c r="H27" s="6"/>
      <c r="I27" s="27" t="s">
        <v>58</v>
      </c>
      <c r="J27" s="27"/>
      <c r="K27" s="6"/>
      <c r="L27" s="13">
        <v>325</v>
      </c>
      <c r="M27" s="16">
        <f>35+25</f>
        <v>60</v>
      </c>
      <c r="N27" s="16"/>
      <c r="O27" s="13">
        <f t="shared" ref="O27:O43" si="23">L27*F27</f>
        <v>9750</v>
      </c>
      <c r="P27" s="13">
        <f t="shared" si="11"/>
        <v>6825</v>
      </c>
      <c r="Q27" s="13">
        <f t="shared" si="13"/>
        <v>2925</v>
      </c>
      <c r="R27" s="13">
        <f>(35+25)*F27</f>
        <v>1800</v>
      </c>
      <c r="S27" s="13">
        <f t="shared" si="20"/>
        <v>0</v>
      </c>
      <c r="T27" s="13"/>
      <c r="U27" s="8">
        <f t="shared" si="1"/>
        <v>11550</v>
      </c>
      <c r="V27" s="13">
        <f t="shared" si="16"/>
        <v>6825</v>
      </c>
      <c r="W27" s="13">
        <f t="shared" si="12"/>
        <v>819</v>
      </c>
      <c r="X27" s="8">
        <f t="shared" si="7"/>
        <v>74</v>
      </c>
      <c r="Y27" s="8">
        <f t="shared" si="8"/>
        <v>10657</v>
      </c>
      <c r="Z27" s="11">
        <f t="shared" si="9"/>
        <v>110</v>
      </c>
      <c r="AA27" s="17">
        <v>110</v>
      </c>
      <c r="AB27" s="13"/>
      <c r="AC27" s="13"/>
      <c r="AD27" s="13"/>
      <c r="AE27" s="13">
        <f t="shared" si="21"/>
        <v>10547</v>
      </c>
      <c r="AF27" s="37"/>
      <c r="AG27" s="79">
        <f t="shared" si="22"/>
        <v>450</v>
      </c>
    </row>
    <row r="28" spans="1:33" ht="18.75" x14ac:dyDescent="0.3">
      <c r="A28" s="15">
        <v>28</v>
      </c>
      <c r="B28" s="15">
        <v>26</v>
      </c>
      <c r="C28" s="6" t="s">
        <v>67</v>
      </c>
      <c r="D28" s="6" t="s">
        <v>51</v>
      </c>
      <c r="E28" s="6"/>
      <c r="F28" s="7">
        <v>29</v>
      </c>
      <c r="G28" s="7">
        <f t="shared" si="2"/>
        <v>1</v>
      </c>
      <c r="H28" s="6"/>
      <c r="I28" s="27" t="s">
        <v>58</v>
      </c>
      <c r="J28" s="27"/>
      <c r="K28" s="6"/>
      <c r="L28" s="13">
        <v>335</v>
      </c>
      <c r="M28" s="16">
        <f>25+25</f>
        <v>50</v>
      </c>
      <c r="N28" s="16"/>
      <c r="O28" s="13">
        <f t="shared" si="23"/>
        <v>9715</v>
      </c>
      <c r="P28" s="13">
        <f>O28*0.7</f>
        <v>6800.5</v>
      </c>
      <c r="Q28" s="13">
        <f t="shared" si="13"/>
        <v>2914.5</v>
      </c>
      <c r="R28" s="13">
        <f>(25+25)*F28</f>
        <v>1450</v>
      </c>
      <c r="S28" s="13">
        <f t="shared" si="20"/>
        <v>0</v>
      </c>
      <c r="T28" s="13"/>
      <c r="U28" s="8">
        <f t="shared" si="1"/>
        <v>11165</v>
      </c>
      <c r="V28" s="13">
        <f t="shared" si="16"/>
        <v>6800.5</v>
      </c>
      <c r="W28" s="13">
        <f t="shared" si="12"/>
        <v>816</v>
      </c>
      <c r="X28" s="8">
        <f t="shared" si="7"/>
        <v>73</v>
      </c>
      <c r="Y28" s="8">
        <f t="shared" si="8"/>
        <v>10276</v>
      </c>
      <c r="Z28" s="11">
        <f t="shared" si="9"/>
        <v>110</v>
      </c>
      <c r="AA28" s="17">
        <v>110</v>
      </c>
      <c r="AB28" s="13"/>
      <c r="AC28" s="13"/>
      <c r="AD28" s="13"/>
      <c r="AE28" s="13">
        <f t="shared" si="21"/>
        <v>10166</v>
      </c>
      <c r="AF28" s="37"/>
      <c r="AG28" s="79">
        <f t="shared" si="22"/>
        <v>435</v>
      </c>
    </row>
    <row r="29" spans="1:33" ht="18.75" x14ac:dyDescent="0.3">
      <c r="A29" s="15">
        <v>29</v>
      </c>
      <c r="B29" s="15">
        <v>27</v>
      </c>
      <c r="C29" s="6" t="s">
        <v>68</v>
      </c>
      <c r="D29" s="6" t="s">
        <v>51</v>
      </c>
      <c r="E29" s="6"/>
      <c r="F29" s="7">
        <v>28</v>
      </c>
      <c r="G29" s="7">
        <f t="shared" si="2"/>
        <v>2</v>
      </c>
      <c r="H29" s="6"/>
      <c r="I29" s="27" t="s">
        <v>58</v>
      </c>
      <c r="J29" s="27"/>
      <c r="K29" s="6"/>
      <c r="L29" s="13">
        <v>325</v>
      </c>
      <c r="M29" s="16">
        <f>15+45</f>
        <v>60</v>
      </c>
      <c r="N29" s="16"/>
      <c r="O29" s="13">
        <f t="shared" si="23"/>
        <v>9100</v>
      </c>
      <c r="P29" s="13">
        <f t="shared" ref="P29:P40" si="24">O29*0.7</f>
        <v>6370</v>
      </c>
      <c r="Q29" s="13">
        <f t="shared" si="13"/>
        <v>2730</v>
      </c>
      <c r="R29" s="13">
        <f>(15+45)*F29</f>
        <v>1680</v>
      </c>
      <c r="S29" s="13">
        <f t="shared" si="20"/>
        <v>0</v>
      </c>
      <c r="T29" s="13"/>
      <c r="U29" s="8">
        <f t="shared" si="1"/>
        <v>10780</v>
      </c>
      <c r="V29" s="13">
        <f t="shared" si="16"/>
        <v>6370</v>
      </c>
      <c r="W29" s="13">
        <f t="shared" si="12"/>
        <v>764</v>
      </c>
      <c r="X29" s="8">
        <f t="shared" si="7"/>
        <v>69</v>
      </c>
      <c r="Y29" s="8">
        <f t="shared" si="8"/>
        <v>9947</v>
      </c>
      <c r="Z29" s="11">
        <f t="shared" si="9"/>
        <v>110</v>
      </c>
      <c r="AA29" s="17">
        <f t="shared" si="10"/>
        <v>110</v>
      </c>
      <c r="AB29" s="13"/>
      <c r="AC29" s="13"/>
      <c r="AD29" s="13"/>
      <c r="AE29" s="13">
        <f t="shared" si="21"/>
        <v>9837</v>
      </c>
      <c r="AF29" s="37"/>
      <c r="AG29" s="79">
        <f t="shared" si="22"/>
        <v>420</v>
      </c>
    </row>
    <row r="30" spans="1:33" ht="18.75" x14ac:dyDescent="0.3">
      <c r="A30" s="15">
        <v>30</v>
      </c>
      <c r="B30" s="15">
        <v>28</v>
      </c>
      <c r="C30" s="6" t="s">
        <v>69</v>
      </c>
      <c r="D30" s="6" t="s">
        <v>51</v>
      </c>
      <c r="E30" s="6"/>
      <c r="F30" s="7">
        <v>29</v>
      </c>
      <c r="G30" s="7">
        <f t="shared" si="2"/>
        <v>1</v>
      </c>
      <c r="H30" s="6"/>
      <c r="I30" s="27" t="s">
        <v>58</v>
      </c>
      <c r="J30" s="27"/>
      <c r="K30" s="6"/>
      <c r="L30" s="13">
        <v>325</v>
      </c>
      <c r="M30" s="16">
        <f>35+25</f>
        <v>60</v>
      </c>
      <c r="N30" s="16"/>
      <c r="O30" s="13">
        <f t="shared" si="23"/>
        <v>9425</v>
      </c>
      <c r="P30" s="13">
        <f t="shared" si="24"/>
        <v>6597.5</v>
      </c>
      <c r="Q30" s="13">
        <f t="shared" si="13"/>
        <v>2827.5</v>
      </c>
      <c r="R30" s="13">
        <f>(35+25)*F30</f>
        <v>1740</v>
      </c>
      <c r="S30" s="13">
        <f t="shared" si="20"/>
        <v>0</v>
      </c>
      <c r="T30" s="13"/>
      <c r="U30" s="8">
        <f t="shared" si="1"/>
        <v>11165</v>
      </c>
      <c r="V30" s="13">
        <f t="shared" si="16"/>
        <v>6597.5</v>
      </c>
      <c r="W30" s="13">
        <f t="shared" si="12"/>
        <v>792</v>
      </c>
      <c r="X30" s="8">
        <f t="shared" si="7"/>
        <v>71</v>
      </c>
      <c r="Y30" s="8">
        <f t="shared" si="8"/>
        <v>10302</v>
      </c>
      <c r="Z30" s="11">
        <f t="shared" si="9"/>
        <v>110</v>
      </c>
      <c r="AA30" s="17">
        <v>110</v>
      </c>
      <c r="AB30" s="13"/>
      <c r="AC30" s="13"/>
      <c r="AD30" s="13"/>
      <c r="AE30" s="13">
        <f t="shared" si="21"/>
        <v>10192</v>
      </c>
      <c r="AF30" s="37"/>
      <c r="AG30" s="79">
        <f t="shared" si="22"/>
        <v>435</v>
      </c>
    </row>
    <row r="31" spans="1:33" ht="18.75" x14ac:dyDescent="0.3">
      <c r="A31" s="15">
        <v>31</v>
      </c>
      <c r="B31" s="15">
        <v>29</v>
      </c>
      <c r="C31" s="6" t="s">
        <v>70</v>
      </c>
      <c r="D31" s="6" t="s">
        <v>51</v>
      </c>
      <c r="E31" s="6"/>
      <c r="F31" s="7">
        <v>28</v>
      </c>
      <c r="G31" s="7">
        <f t="shared" si="2"/>
        <v>2</v>
      </c>
      <c r="H31" s="6"/>
      <c r="I31" s="27" t="s">
        <v>58</v>
      </c>
      <c r="J31" s="27"/>
      <c r="K31" s="6"/>
      <c r="L31" s="13">
        <v>335</v>
      </c>
      <c r="M31" s="16">
        <f>25+25</f>
        <v>50</v>
      </c>
      <c r="N31" s="16"/>
      <c r="O31" s="13">
        <f t="shared" si="23"/>
        <v>9380</v>
      </c>
      <c r="P31" s="13">
        <f t="shared" si="24"/>
        <v>6566</v>
      </c>
      <c r="Q31" s="13">
        <f t="shared" si="13"/>
        <v>2814</v>
      </c>
      <c r="R31" s="13">
        <f>(25+25)*F31</f>
        <v>1400</v>
      </c>
      <c r="S31" s="13">
        <f t="shared" si="20"/>
        <v>0</v>
      </c>
      <c r="T31" s="13"/>
      <c r="U31" s="8">
        <f t="shared" si="1"/>
        <v>10780</v>
      </c>
      <c r="V31" s="13">
        <f t="shared" si="16"/>
        <v>6566</v>
      </c>
      <c r="W31" s="13">
        <f t="shared" si="12"/>
        <v>788</v>
      </c>
      <c r="X31" s="8">
        <f t="shared" si="7"/>
        <v>71</v>
      </c>
      <c r="Y31" s="8">
        <f t="shared" si="8"/>
        <v>9921</v>
      </c>
      <c r="Z31" s="11">
        <f t="shared" si="9"/>
        <v>110</v>
      </c>
      <c r="AA31" s="17">
        <v>110</v>
      </c>
      <c r="AB31" s="13"/>
      <c r="AC31" s="13"/>
      <c r="AD31" s="13"/>
      <c r="AE31" s="13">
        <f t="shared" si="21"/>
        <v>9811</v>
      </c>
      <c r="AF31" s="37"/>
      <c r="AG31" s="79">
        <f t="shared" si="22"/>
        <v>420</v>
      </c>
    </row>
    <row r="32" spans="1:33" ht="18.75" x14ac:dyDescent="0.3">
      <c r="A32" s="15">
        <v>32</v>
      </c>
      <c r="B32" s="15">
        <v>30</v>
      </c>
      <c r="C32" s="6" t="s">
        <v>71</v>
      </c>
      <c r="D32" s="6" t="s">
        <v>51</v>
      </c>
      <c r="E32" s="6"/>
      <c r="F32" s="7">
        <v>30</v>
      </c>
      <c r="G32" s="7">
        <f t="shared" si="2"/>
        <v>0</v>
      </c>
      <c r="H32" s="6"/>
      <c r="I32" s="27" t="s">
        <v>58</v>
      </c>
      <c r="J32" s="27"/>
      <c r="K32" s="6"/>
      <c r="L32" s="13">
        <v>325</v>
      </c>
      <c r="M32" s="16">
        <f>35+25</f>
        <v>60</v>
      </c>
      <c r="N32" s="16"/>
      <c r="O32" s="13">
        <f t="shared" si="23"/>
        <v>9750</v>
      </c>
      <c r="P32" s="13">
        <f t="shared" si="24"/>
        <v>6825</v>
      </c>
      <c r="Q32" s="13">
        <f t="shared" si="13"/>
        <v>2925</v>
      </c>
      <c r="R32" s="13">
        <f>(35+25)*F32</f>
        <v>1800</v>
      </c>
      <c r="S32" s="13">
        <f t="shared" si="20"/>
        <v>0</v>
      </c>
      <c r="T32" s="13"/>
      <c r="U32" s="8">
        <f t="shared" si="1"/>
        <v>11550</v>
      </c>
      <c r="V32" s="13">
        <f t="shared" si="16"/>
        <v>6825</v>
      </c>
      <c r="W32" s="13">
        <f t="shared" si="12"/>
        <v>819</v>
      </c>
      <c r="X32" s="8">
        <f t="shared" si="7"/>
        <v>74</v>
      </c>
      <c r="Y32" s="8">
        <f t="shared" si="8"/>
        <v>10657</v>
      </c>
      <c r="Z32" s="11">
        <f t="shared" si="9"/>
        <v>110</v>
      </c>
      <c r="AA32" s="17">
        <v>110</v>
      </c>
      <c r="AB32" s="13"/>
      <c r="AC32" s="13"/>
      <c r="AD32" s="13"/>
      <c r="AE32" s="13">
        <f t="shared" si="21"/>
        <v>10547</v>
      </c>
      <c r="AF32" s="37"/>
      <c r="AG32" s="79">
        <f t="shared" si="22"/>
        <v>450</v>
      </c>
    </row>
    <row r="33" spans="1:33" ht="18.75" x14ac:dyDescent="0.3">
      <c r="A33" s="15">
        <v>34</v>
      </c>
      <c r="B33" s="15">
        <v>31</v>
      </c>
      <c r="C33" s="6" t="s">
        <v>72</v>
      </c>
      <c r="D33" s="6" t="s">
        <v>51</v>
      </c>
      <c r="E33" s="6"/>
      <c r="F33" s="7">
        <v>28</v>
      </c>
      <c r="G33" s="7">
        <f t="shared" si="2"/>
        <v>2</v>
      </c>
      <c r="H33" s="6"/>
      <c r="I33" s="27" t="s">
        <v>58</v>
      </c>
      <c r="J33" s="27"/>
      <c r="K33" s="6"/>
      <c r="L33" s="13">
        <v>325</v>
      </c>
      <c r="M33" s="16">
        <f>15+45</f>
        <v>60</v>
      </c>
      <c r="N33" s="16"/>
      <c r="O33" s="13">
        <f t="shared" si="23"/>
        <v>9100</v>
      </c>
      <c r="P33" s="13">
        <f t="shared" si="24"/>
        <v>6370</v>
      </c>
      <c r="Q33" s="13">
        <f t="shared" si="13"/>
        <v>2730</v>
      </c>
      <c r="R33" s="13">
        <f>(15+45)*F33</f>
        <v>1680</v>
      </c>
      <c r="S33" s="13">
        <f t="shared" si="20"/>
        <v>0</v>
      </c>
      <c r="T33" s="13"/>
      <c r="U33" s="8">
        <f t="shared" si="1"/>
        <v>10780</v>
      </c>
      <c r="V33" s="13">
        <f t="shared" si="16"/>
        <v>6370</v>
      </c>
      <c r="W33" s="13">
        <f t="shared" si="12"/>
        <v>764</v>
      </c>
      <c r="X33" s="8">
        <f t="shared" si="7"/>
        <v>69</v>
      </c>
      <c r="Y33" s="8">
        <f t="shared" si="8"/>
        <v>9947</v>
      </c>
      <c r="Z33" s="11">
        <f t="shared" si="9"/>
        <v>110</v>
      </c>
      <c r="AA33" s="17">
        <f t="shared" si="10"/>
        <v>110</v>
      </c>
      <c r="AB33" s="13"/>
      <c r="AC33" s="13"/>
      <c r="AD33" s="13"/>
      <c r="AE33" s="13">
        <f t="shared" si="21"/>
        <v>9837</v>
      </c>
      <c r="AF33" s="37"/>
      <c r="AG33" s="79">
        <f t="shared" si="22"/>
        <v>420</v>
      </c>
    </row>
    <row r="34" spans="1:33" ht="18.75" x14ac:dyDescent="0.3">
      <c r="A34" s="15">
        <v>35</v>
      </c>
      <c r="B34" s="15">
        <v>32</v>
      </c>
      <c r="C34" s="6" t="s">
        <v>73</v>
      </c>
      <c r="D34" s="6" t="s">
        <v>51</v>
      </c>
      <c r="E34" s="6"/>
      <c r="F34" s="7">
        <v>30</v>
      </c>
      <c r="G34" s="7">
        <f t="shared" si="2"/>
        <v>0</v>
      </c>
      <c r="H34" s="6"/>
      <c r="I34" s="27" t="s">
        <v>58</v>
      </c>
      <c r="J34" s="27"/>
      <c r="K34" s="6"/>
      <c r="L34" s="13">
        <v>325</v>
      </c>
      <c r="M34" s="16">
        <f>15+45</f>
        <v>60</v>
      </c>
      <c r="N34" s="16"/>
      <c r="O34" s="13">
        <f t="shared" si="23"/>
        <v>9750</v>
      </c>
      <c r="P34" s="13">
        <f t="shared" si="24"/>
        <v>6825</v>
      </c>
      <c r="Q34" s="13">
        <f t="shared" si="13"/>
        <v>2925</v>
      </c>
      <c r="R34" s="13">
        <f>(15+45)*F34</f>
        <v>1800</v>
      </c>
      <c r="S34" s="13">
        <f t="shared" si="20"/>
        <v>0</v>
      </c>
      <c r="T34" s="13"/>
      <c r="U34" s="8">
        <f t="shared" si="1"/>
        <v>11550</v>
      </c>
      <c r="V34" s="13">
        <f t="shared" si="16"/>
        <v>6825</v>
      </c>
      <c r="W34" s="13">
        <f t="shared" si="12"/>
        <v>819</v>
      </c>
      <c r="X34" s="8">
        <f t="shared" si="7"/>
        <v>74</v>
      </c>
      <c r="Y34" s="8">
        <f t="shared" si="8"/>
        <v>10657</v>
      </c>
      <c r="Z34" s="11">
        <f t="shared" si="9"/>
        <v>110</v>
      </c>
      <c r="AA34" s="17">
        <f t="shared" si="10"/>
        <v>110</v>
      </c>
      <c r="AB34" s="13"/>
      <c r="AC34" s="13"/>
      <c r="AD34" s="13"/>
      <c r="AE34" s="13">
        <f t="shared" si="21"/>
        <v>10547</v>
      </c>
      <c r="AF34" s="37"/>
      <c r="AG34" s="79">
        <f t="shared" si="22"/>
        <v>450</v>
      </c>
    </row>
    <row r="35" spans="1:33" ht="18.75" x14ac:dyDescent="0.3">
      <c r="A35" s="15">
        <v>36</v>
      </c>
      <c r="B35" s="15">
        <v>33</v>
      </c>
      <c r="C35" s="6" t="s">
        <v>74</v>
      </c>
      <c r="D35" s="6" t="s">
        <v>51</v>
      </c>
      <c r="E35" s="6"/>
      <c r="F35" s="7">
        <v>28</v>
      </c>
      <c r="G35" s="7">
        <f t="shared" si="2"/>
        <v>2</v>
      </c>
      <c r="H35" s="6"/>
      <c r="I35" s="27" t="s">
        <v>58</v>
      </c>
      <c r="J35" s="27"/>
      <c r="K35" s="6"/>
      <c r="L35" s="13">
        <v>335</v>
      </c>
      <c r="M35" s="16">
        <f>25+25</f>
        <v>50</v>
      </c>
      <c r="N35" s="16"/>
      <c r="O35" s="13">
        <f t="shared" si="23"/>
        <v>9380</v>
      </c>
      <c r="P35" s="13">
        <f t="shared" si="24"/>
        <v>6566</v>
      </c>
      <c r="Q35" s="13">
        <f t="shared" si="13"/>
        <v>2814</v>
      </c>
      <c r="R35" s="13">
        <f>(25+25)*F35</f>
        <v>1400</v>
      </c>
      <c r="S35" s="13">
        <f t="shared" si="20"/>
        <v>0</v>
      </c>
      <c r="T35" s="13"/>
      <c r="U35" s="8">
        <f t="shared" si="1"/>
        <v>10780</v>
      </c>
      <c r="V35" s="13">
        <f t="shared" si="16"/>
        <v>6566</v>
      </c>
      <c r="W35" s="13">
        <f t="shared" si="12"/>
        <v>788</v>
      </c>
      <c r="X35" s="8">
        <f t="shared" si="7"/>
        <v>71</v>
      </c>
      <c r="Y35" s="8">
        <f t="shared" si="8"/>
        <v>9921</v>
      </c>
      <c r="Z35" s="11">
        <f t="shared" si="9"/>
        <v>110</v>
      </c>
      <c r="AA35" s="17">
        <v>110</v>
      </c>
      <c r="AB35" s="13"/>
      <c r="AC35" s="13"/>
      <c r="AD35" s="13"/>
      <c r="AE35" s="13">
        <f t="shared" si="21"/>
        <v>9811</v>
      </c>
      <c r="AF35" s="37"/>
      <c r="AG35" s="79">
        <f t="shared" si="22"/>
        <v>420</v>
      </c>
    </row>
    <row r="36" spans="1:33" ht="18.75" x14ac:dyDescent="0.3">
      <c r="A36" s="15">
        <v>37</v>
      </c>
      <c r="B36" s="15">
        <v>34</v>
      </c>
      <c r="C36" s="6" t="s">
        <v>75</v>
      </c>
      <c r="D36" s="6" t="s">
        <v>51</v>
      </c>
      <c r="E36" s="6"/>
      <c r="F36" s="7">
        <v>29</v>
      </c>
      <c r="G36" s="7">
        <f t="shared" si="2"/>
        <v>1</v>
      </c>
      <c r="H36" s="6"/>
      <c r="I36" s="27" t="s">
        <v>58</v>
      </c>
      <c r="J36" s="27"/>
      <c r="K36" s="6"/>
      <c r="L36" s="13">
        <v>335</v>
      </c>
      <c r="M36" s="16">
        <f>25+25</f>
        <v>50</v>
      </c>
      <c r="N36" s="16"/>
      <c r="O36" s="13">
        <f>L36*F36</f>
        <v>9715</v>
      </c>
      <c r="P36" s="13">
        <f t="shared" si="24"/>
        <v>6800.5</v>
      </c>
      <c r="Q36" s="13">
        <f t="shared" si="13"/>
        <v>2914.5</v>
      </c>
      <c r="R36" s="13">
        <f>(25+25)*F36</f>
        <v>1450</v>
      </c>
      <c r="S36" s="13">
        <f t="shared" si="20"/>
        <v>0</v>
      </c>
      <c r="T36" s="13"/>
      <c r="U36" s="8">
        <f t="shared" si="1"/>
        <v>11165</v>
      </c>
      <c r="V36" s="13">
        <f t="shared" si="16"/>
        <v>6800.5</v>
      </c>
      <c r="W36" s="13">
        <f t="shared" si="12"/>
        <v>816</v>
      </c>
      <c r="X36" s="8">
        <f t="shared" si="7"/>
        <v>73</v>
      </c>
      <c r="Y36" s="8">
        <f t="shared" si="8"/>
        <v>10276</v>
      </c>
      <c r="Z36" s="11">
        <f t="shared" si="9"/>
        <v>110</v>
      </c>
      <c r="AA36" s="17">
        <v>110</v>
      </c>
      <c r="AB36" s="13"/>
      <c r="AC36" s="13"/>
      <c r="AD36" s="13"/>
      <c r="AE36" s="13">
        <f t="shared" si="21"/>
        <v>10166</v>
      </c>
      <c r="AF36" s="37"/>
      <c r="AG36" s="79">
        <f t="shared" si="22"/>
        <v>435</v>
      </c>
    </row>
    <row r="37" spans="1:33" ht="18.75" x14ac:dyDescent="0.3">
      <c r="A37" s="15">
        <v>38</v>
      </c>
      <c r="B37" s="15">
        <v>35</v>
      </c>
      <c r="C37" s="6" t="s">
        <v>76</v>
      </c>
      <c r="D37" s="6"/>
      <c r="E37" s="6"/>
      <c r="F37" s="7">
        <v>27</v>
      </c>
      <c r="G37" s="7">
        <f t="shared" si="2"/>
        <v>3</v>
      </c>
      <c r="H37" s="6"/>
      <c r="I37" s="27" t="s">
        <v>58</v>
      </c>
      <c r="J37" s="27"/>
      <c r="K37" s="6"/>
      <c r="L37" s="13">
        <v>325</v>
      </c>
      <c r="M37" s="16">
        <f>35+25</f>
        <v>60</v>
      </c>
      <c r="N37" s="16"/>
      <c r="O37" s="13">
        <f t="shared" ref="O37:O41" si="25">L37*F37</f>
        <v>8775</v>
      </c>
      <c r="P37" s="13">
        <f t="shared" si="24"/>
        <v>6142.5</v>
      </c>
      <c r="Q37" s="13">
        <f t="shared" si="13"/>
        <v>2632.5</v>
      </c>
      <c r="R37" s="13">
        <f>(35+25)*F37</f>
        <v>1620</v>
      </c>
      <c r="S37" s="13">
        <f t="shared" si="20"/>
        <v>0</v>
      </c>
      <c r="T37" s="13"/>
      <c r="U37" s="8">
        <f t="shared" si="1"/>
        <v>10395</v>
      </c>
      <c r="V37" s="13">
        <f t="shared" si="16"/>
        <v>6142.5</v>
      </c>
      <c r="W37" s="13">
        <f t="shared" si="12"/>
        <v>737</v>
      </c>
      <c r="X37" s="8">
        <f t="shared" si="7"/>
        <v>66</v>
      </c>
      <c r="Y37" s="8">
        <f t="shared" si="8"/>
        <v>9592</v>
      </c>
      <c r="Z37" s="11">
        <f t="shared" si="9"/>
        <v>110</v>
      </c>
      <c r="AA37" s="17">
        <v>110</v>
      </c>
      <c r="AB37" s="13"/>
      <c r="AC37" s="13"/>
      <c r="AD37" s="13"/>
      <c r="AE37" s="13">
        <f t="shared" si="21"/>
        <v>9482</v>
      </c>
      <c r="AF37" s="37"/>
      <c r="AG37" s="79">
        <f t="shared" si="22"/>
        <v>405</v>
      </c>
    </row>
    <row r="38" spans="1:33" ht="18.75" x14ac:dyDescent="0.3">
      <c r="A38" s="15">
        <v>39</v>
      </c>
      <c r="B38" s="15">
        <v>36</v>
      </c>
      <c r="C38" s="6" t="s">
        <v>77</v>
      </c>
      <c r="D38" s="6"/>
      <c r="E38" s="6"/>
      <c r="F38" s="7">
        <v>30</v>
      </c>
      <c r="G38" s="7">
        <f t="shared" si="2"/>
        <v>0</v>
      </c>
      <c r="H38" s="6"/>
      <c r="I38" s="27" t="s">
        <v>58</v>
      </c>
      <c r="J38" s="27"/>
      <c r="K38" s="6"/>
      <c r="L38" s="13">
        <v>315</v>
      </c>
      <c r="M38" s="16">
        <f>45+25</f>
        <v>70</v>
      </c>
      <c r="N38" s="16"/>
      <c r="O38" s="13">
        <f t="shared" si="25"/>
        <v>9450</v>
      </c>
      <c r="P38" s="13">
        <f t="shared" si="24"/>
        <v>6615</v>
      </c>
      <c r="Q38" s="13">
        <f t="shared" si="13"/>
        <v>2835</v>
      </c>
      <c r="R38" s="13">
        <f>(45+25)*F38</f>
        <v>2100</v>
      </c>
      <c r="S38" s="13">
        <f t="shared" si="20"/>
        <v>0</v>
      </c>
      <c r="T38" s="13"/>
      <c r="U38" s="8">
        <f t="shared" si="1"/>
        <v>11550</v>
      </c>
      <c r="V38" s="13">
        <f t="shared" si="16"/>
        <v>6615</v>
      </c>
      <c r="W38" s="13">
        <f t="shared" si="12"/>
        <v>794</v>
      </c>
      <c r="X38" s="8">
        <f t="shared" si="7"/>
        <v>71</v>
      </c>
      <c r="Y38" s="8">
        <f t="shared" si="8"/>
        <v>10685</v>
      </c>
      <c r="Z38" s="11">
        <f t="shared" si="9"/>
        <v>110</v>
      </c>
      <c r="AA38" s="17">
        <v>110</v>
      </c>
      <c r="AB38" s="13"/>
      <c r="AC38" s="13"/>
      <c r="AD38" s="13"/>
      <c r="AE38" s="13">
        <f t="shared" si="21"/>
        <v>10575</v>
      </c>
      <c r="AF38" s="37"/>
      <c r="AG38" s="79">
        <f t="shared" si="22"/>
        <v>450</v>
      </c>
    </row>
    <row r="39" spans="1:33" s="35" customFormat="1" ht="18.75" x14ac:dyDescent="0.3">
      <c r="A39" s="15">
        <v>40</v>
      </c>
      <c r="B39" s="15">
        <v>37</v>
      </c>
      <c r="C39" s="6" t="s">
        <v>78</v>
      </c>
      <c r="D39" s="6"/>
      <c r="E39" s="6"/>
      <c r="F39" s="7">
        <v>17</v>
      </c>
      <c r="G39" s="7">
        <f t="shared" si="2"/>
        <v>13</v>
      </c>
      <c r="H39" s="6"/>
      <c r="I39" s="27" t="s">
        <v>58</v>
      </c>
      <c r="J39" s="27"/>
      <c r="K39" s="6"/>
      <c r="L39" s="13">
        <v>315</v>
      </c>
      <c r="M39" s="16">
        <f>25+45</f>
        <v>70</v>
      </c>
      <c r="N39" s="16"/>
      <c r="O39" s="13">
        <f t="shared" si="25"/>
        <v>5355</v>
      </c>
      <c r="P39" s="13">
        <f t="shared" si="24"/>
        <v>3748.4999999999995</v>
      </c>
      <c r="Q39" s="13">
        <f t="shared" si="13"/>
        <v>1606.5</v>
      </c>
      <c r="R39" s="13">
        <f>(25+45)*F39</f>
        <v>1190</v>
      </c>
      <c r="S39" s="13">
        <f t="shared" si="20"/>
        <v>0</v>
      </c>
      <c r="T39" s="13"/>
      <c r="U39" s="13">
        <f t="shared" si="1"/>
        <v>6545</v>
      </c>
      <c r="V39" s="13">
        <f t="shared" si="16"/>
        <v>3748.4999999999995</v>
      </c>
      <c r="W39" s="13">
        <f t="shared" si="12"/>
        <v>450</v>
      </c>
      <c r="X39" s="13">
        <f t="shared" si="7"/>
        <v>41</v>
      </c>
      <c r="Y39" s="13">
        <f t="shared" si="8"/>
        <v>6054</v>
      </c>
      <c r="Z39" s="11">
        <f t="shared" si="9"/>
        <v>0</v>
      </c>
      <c r="AA39" s="17">
        <v>110</v>
      </c>
      <c r="AB39" s="13"/>
      <c r="AC39" s="13"/>
      <c r="AD39" s="13"/>
      <c r="AE39" s="13">
        <f t="shared" si="21"/>
        <v>6054</v>
      </c>
      <c r="AF39" s="37"/>
      <c r="AG39" s="79">
        <f t="shared" si="22"/>
        <v>255</v>
      </c>
    </row>
    <row r="40" spans="1:33" ht="18.75" x14ac:dyDescent="0.3">
      <c r="A40" s="15">
        <v>41</v>
      </c>
      <c r="B40" s="15">
        <v>38</v>
      </c>
      <c r="C40" s="6" t="s">
        <v>79</v>
      </c>
      <c r="D40" s="6"/>
      <c r="E40" s="6"/>
      <c r="F40" s="7">
        <v>29</v>
      </c>
      <c r="G40" s="7">
        <f t="shared" si="2"/>
        <v>1</v>
      </c>
      <c r="H40" s="6"/>
      <c r="I40" s="27" t="s">
        <v>58</v>
      </c>
      <c r="J40" s="27"/>
      <c r="K40" s="6"/>
      <c r="L40" s="13">
        <v>315</v>
      </c>
      <c r="M40" s="16">
        <f>45+25</f>
        <v>70</v>
      </c>
      <c r="N40" s="16"/>
      <c r="O40" s="13">
        <f t="shared" si="25"/>
        <v>9135</v>
      </c>
      <c r="P40" s="13">
        <f t="shared" si="24"/>
        <v>6394.5</v>
      </c>
      <c r="Q40" s="13">
        <f t="shared" si="13"/>
        <v>2740.5</v>
      </c>
      <c r="R40" s="13">
        <f>(45+25)*F40</f>
        <v>2030</v>
      </c>
      <c r="S40" s="13">
        <f t="shared" si="20"/>
        <v>0</v>
      </c>
      <c r="T40" s="13"/>
      <c r="U40" s="8">
        <f t="shared" si="1"/>
        <v>11165</v>
      </c>
      <c r="V40" s="13">
        <f t="shared" si="16"/>
        <v>6394.5</v>
      </c>
      <c r="W40" s="13">
        <f t="shared" si="12"/>
        <v>767</v>
      </c>
      <c r="X40" s="8">
        <f t="shared" si="7"/>
        <v>69</v>
      </c>
      <c r="Y40" s="8">
        <f t="shared" si="8"/>
        <v>10329</v>
      </c>
      <c r="Z40" s="11">
        <f t="shared" si="9"/>
        <v>110</v>
      </c>
      <c r="AA40" s="17">
        <v>110</v>
      </c>
      <c r="AB40" s="13"/>
      <c r="AC40" s="13"/>
      <c r="AD40" s="13"/>
      <c r="AE40" s="13">
        <f t="shared" si="21"/>
        <v>10219</v>
      </c>
      <c r="AF40" s="37"/>
      <c r="AG40" s="79">
        <f>(F40+H40)*15</f>
        <v>435</v>
      </c>
    </row>
    <row r="41" spans="1:33" ht="18.75" x14ac:dyDescent="0.3">
      <c r="A41" s="15">
        <v>42</v>
      </c>
      <c r="B41" s="15">
        <v>39</v>
      </c>
      <c r="C41" s="6" t="s">
        <v>80</v>
      </c>
      <c r="D41" s="6"/>
      <c r="E41" s="6"/>
      <c r="F41" s="7">
        <v>30</v>
      </c>
      <c r="G41" s="7">
        <f t="shared" si="2"/>
        <v>0</v>
      </c>
      <c r="H41" s="6"/>
      <c r="I41" s="38"/>
      <c r="J41" s="6">
        <f>50000+10000</f>
        <v>60000</v>
      </c>
      <c r="K41" s="6">
        <f>50000+10000</f>
        <v>60000</v>
      </c>
      <c r="L41" s="13">
        <f>K41/30</f>
        <v>2000</v>
      </c>
      <c r="M41" s="16">
        <f t="shared" ref="M41:M46" si="26">R41/31</f>
        <v>0</v>
      </c>
      <c r="N41" s="16"/>
      <c r="O41" s="13">
        <f t="shared" si="25"/>
        <v>60000</v>
      </c>
      <c r="P41" s="13">
        <f>O41*0.7</f>
        <v>42000</v>
      </c>
      <c r="Q41" s="13">
        <f t="shared" si="13"/>
        <v>18000</v>
      </c>
      <c r="R41" s="13"/>
      <c r="S41" s="13">
        <f t="shared" si="20"/>
        <v>0</v>
      </c>
      <c r="T41" s="13"/>
      <c r="U41" s="13">
        <f t="shared" ref="U41:U53" si="27">P41+Q41+S41+T41+R41</f>
        <v>60000</v>
      </c>
      <c r="V41" s="13">
        <v>0</v>
      </c>
      <c r="W41" s="13">
        <f t="shared" si="12"/>
        <v>0</v>
      </c>
      <c r="X41" s="8">
        <f t="shared" si="7"/>
        <v>0</v>
      </c>
      <c r="Y41" s="8">
        <f t="shared" si="8"/>
        <v>60000</v>
      </c>
      <c r="Z41" s="11">
        <f t="shared" si="9"/>
        <v>200</v>
      </c>
      <c r="AA41" s="17">
        <f t="shared" ref="AA41" si="28">Z41</f>
        <v>200</v>
      </c>
      <c r="AB41" s="13"/>
      <c r="AC41" s="13"/>
      <c r="AD41" s="13"/>
      <c r="AE41" s="13">
        <f>U41-W41-X41-Z41-AB41-AD41</f>
        <v>59800</v>
      </c>
      <c r="AF41" s="37"/>
      <c r="AG41" s="79"/>
    </row>
    <row r="42" spans="1:33" ht="18.75" x14ac:dyDescent="0.3">
      <c r="A42" s="15">
        <v>43</v>
      </c>
      <c r="B42" s="15">
        <v>40</v>
      </c>
      <c r="C42" s="6" t="s">
        <v>81</v>
      </c>
      <c r="D42" s="6"/>
      <c r="E42" s="6"/>
      <c r="F42" s="7">
        <v>30</v>
      </c>
      <c r="G42" s="7">
        <f t="shared" si="2"/>
        <v>0</v>
      </c>
      <c r="H42" s="6"/>
      <c r="I42" s="38"/>
      <c r="J42" s="6">
        <v>25000</v>
      </c>
      <c r="K42" s="6">
        <v>25000</v>
      </c>
      <c r="L42" s="13">
        <f t="shared" ref="L42:L46" si="29">K42/30</f>
        <v>833.33333333333337</v>
      </c>
      <c r="M42" s="16">
        <f t="shared" si="26"/>
        <v>0</v>
      </c>
      <c r="N42" s="16"/>
      <c r="O42" s="13">
        <f>L42*F42</f>
        <v>25000</v>
      </c>
      <c r="P42" s="13">
        <f>O42*0.7</f>
        <v>17500</v>
      </c>
      <c r="Q42" s="13">
        <f>O42*0.3</f>
        <v>7500</v>
      </c>
      <c r="R42" s="13"/>
      <c r="S42" s="13">
        <f t="shared" si="20"/>
        <v>0</v>
      </c>
      <c r="T42" s="13"/>
      <c r="U42" s="13">
        <f t="shared" si="27"/>
        <v>25000</v>
      </c>
      <c r="V42" s="13">
        <v>0</v>
      </c>
      <c r="W42" s="13">
        <v>0</v>
      </c>
      <c r="X42" s="8">
        <f t="shared" si="7"/>
        <v>0</v>
      </c>
      <c r="Y42" s="8">
        <f t="shared" si="8"/>
        <v>25000</v>
      </c>
      <c r="Z42" s="11">
        <f t="shared" si="9"/>
        <v>130</v>
      </c>
      <c r="AA42" s="17">
        <v>130</v>
      </c>
      <c r="AB42" s="13"/>
      <c r="AC42" s="13"/>
      <c r="AD42" s="13"/>
      <c r="AE42" s="13">
        <f t="shared" si="21"/>
        <v>24870</v>
      </c>
      <c r="AF42" s="37"/>
      <c r="AG42" s="79"/>
    </row>
    <row r="43" spans="1:33" ht="18.75" x14ac:dyDescent="0.3">
      <c r="A43" s="15">
        <v>44</v>
      </c>
      <c r="B43" s="15">
        <v>41</v>
      </c>
      <c r="C43" s="6" t="s">
        <v>82</v>
      </c>
      <c r="D43" s="6" t="s">
        <v>83</v>
      </c>
      <c r="E43" s="6"/>
      <c r="F43" s="7">
        <v>30</v>
      </c>
      <c r="G43" s="7">
        <f t="shared" si="2"/>
        <v>0</v>
      </c>
      <c r="H43" s="6"/>
      <c r="I43" s="38"/>
      <c r="J43" s="6">
        <v>25000</v>
      </c>
      <c r="K43" s="6">
        <v>25000</v>
      </c>
      <c r="L43" s="13">
        <f t="shared" si="29"/>
        <v>833.33333333333337</v>
      </c>
      <c r="M43" s="16">
        <f t="shared" si="26"/>
        <v>0</v>
      </c>
      <c r="N43" s="16"/>
      <c r="O43" s="13">
        <f t="shared" si="23"/>
        <v>25000</v>
      </c>
      <c r="P43" s="13">
        <f t="shared" si="11"/>
        <v>17500</v>
      </c>
      <c r="Q43" s="13">
        <f>O43*0.3</f>
        <v>7500</v>
      </c>
      <c r="R43" s="13"/>
      <c r="S43" s="13">
        <f t="shared" si="20"/>
        <v>0</v>
      </c>
      <c r="T43" s="13"/>
      <c r="U43" s="13">
        <f t="shared" si="27"/>
        <v>25000</v>
      </c>
      <c r="V43" s="13">
        <v>0</v>
      </c>
      <c r="W43" s="13">
        <v>0</v>
      </c>
      <c r="X43" s="8">
        <f t="shared" si="7"/>
        <v>0</v>
      </c>
      <c r="Y43" s="8">
        <f t="shared" si="8"/>
        <v>25000</v>
      </c>
      <c r="Z43" s="11">
        <f t="shared" si="9"/>
        <v>130</v>
      </c>
      <c r="AA43" s="17">
        <f t="shared" si="10"/>
        <v>130</v>
      </c>
      <c r="AB43" s="13"/>
      <c r="AC43" s="13"/>
      <c r="AD43" s="13"/>
      <c r="AE43" s="13">
        <f>U43-W43-X43-Z43-AB43-AC43</f>
        <v>24870</v>
      </c>
      <c r="AF43" s="26"/>
      <c r="AG43" s="79"/>
    </row>
    <row r="44" spans="1:33" ht="18.75" x14ac:dyDescent="0.3">
      <c r="A44" s="15">
        <v>45</v>
      </c>
      <c r="B44" s="15">
        <v>42</v>
      </c>
      <c r="C44" s="6" t="s">
        <v>84</v>
      </c>
      <c r="D44" s="6"/>
      <c r="E44" s="6"/>
      <c r="F44" s="7">
        <v>30</v>
      </c>
      <c r="G44" s="7">
        <f t="shared" si="2"/>
        <v>0</v>
      </c>
      <c r="H44" s="6"/>
      <c r="I44" s="38"/>
      <c r="J44" s="6">
        <v>25000</v>
      </c>
      <c r="K44" s="6">
        <v>25000</v>
      </c>
      <c r="L44" s="13">
        <f t="shared" si="29"/>
        <v>833.33333333333337</v>
      </c>
      <c r="M44" s="16">
        <f t="shared" si="26"/>
        <v>0</v>
      </c>
      <c r="N44" s="16"/>
      <c r="O44" s="13">
        <f>L44*F44</f>
        <v>25000</v>
      </c>
      <c r="P44" s="13">
        <v>25000</v>
      </c>
      <c r="Q44" s="13">
        <v>0</v>
      </c>
      <c r="R44" s="13"/>
      <c r="S44" s="13">
        <f t="shared" si="20"/>
        <v>0</v>
      </c>
      <c r="T44" s="13"/>
      <c r="U44" s="13">
        <f t="shared" si="27"/>
        <v>25000</v>
      </c>
      <c r="V44" s="13">
        <v>0</v>
      </c>
      <c r="W44" s="13">
        <v>0</v>
      </c>
      <c r="X44" s="8">
        <f t="shared" si="7"/>
        <v>0</v>
      </c>
      <c r="Y44" s="8">
        <f t="shared" si="8"/>
        <v>25000</v>
      </c>
      <c r="Z44" s="11">
        <f t="shared" si="9"/>
        <v>130</v>
      </c>
      <c r="AA44" s="17">
        <v>130</v>
      </c>
      <c r="AB44" s="13"/>
      <c r="AC44" s="13"/>
      <c r="AD44" s="13"/>
      <c r="AE44" s="13">
        <f t="shared" ref="AE44:AE51" si="30">U44-W44-X44-Z44-AB44</f>
        <v>24870</v>
      </c>
      <c r="AF44" s="26"/>
      <c r="AG44" s="79"/>
    </row>
    <row r="45" spans="1:33" ht="18.75" x14ac:dyDescent="0.3">
      <c r="A45" s="15">
        <v>42</v>
      </c>
      <c r="B45" s="15">
        <v>43</v>
      </c>
      <c r="C45" s="6" t="s">
        <v>85</v>
      </c>
      <c r="D45" s="6"/>
      <c r="E45" s="6"/>
      <c r="F45" s="7">
        <v>29</v>
      </c>
      <c r="G45" s="7">
        <f t="shared" si="2"/>
        <v>1</v>
      </c>
      <c r="H45" s="6"/>
      <c r="I45" s="38"/>
      <c r="J45" s="6">
        <v>35000</v>
      </c>
      <c r="K45" s="6">
        <v>35000</v>
      </c>
      <c r="L45" s="13">
        <f t="shared" si="29"/>
        <v>1166.6666666666667</v>
      </c>
      <c r="M45" s="16">
        <f t="shared" si="26"/>
        <v>0</v>
      </c>
      <c r="N45" s="16"/>
      <c r="O45" s="13">
        <f t="shared" ref="O45:O54" si="31">L45*F45</f>
        <v>33833.333333333336</v>
      </c>
      <c r="P45" s="13">
        <f>O45*0.7</f>
        <v>23683.333333333332</v>
      </c>
      <c r="Q45" s="13">
        <f t="shared" ref="Q45:Q54" si="32">O45*0.3</f>
        <v>10150</v>
      </c>
      <c r="R45" s="13"/>
      <c r="S45" s="13">
        <f t="shared" si="20"/>
        <v>0</v>
      </c>
      <c r="T45" s="13"/>
      <c r="U45" s="13">
        <f t="shared" si="27"/>
        <v>33833.333333333328</v>
      </c>
      <c r="V45" s="13">
        <v>0</v>
      </c>
      <c r="W45" s="13">
        <f t="shared" ref="W45:W54" si="33">ROUND(IF(V45&lt;=15000,V45*12%,IF(V45&gt;15000,0)),0)</f>
        <v>0</v>
      </c>
      <c r="X45" s="8">
        <f t="shared" si="7"/>
        <v>0</v>
      </c>
      <c r="Y45" s="8">
        <f t="shared" si="8"/>
        <v>33833.333333333328</v>
      </c>
      <c r="Z45" s="11">
        <f t="shared" si="9"/>
        <v>150</v>
      </c>
      <c r="AA45" s="17">
        <f t="shared" ref="AA45:AA46" si="34">Z45</f>
        <v>150</v>
      </c>
      <c r="AB45" s="13"/>
      <c r="AC45" s="13"/>
      <c r="AD45" s="13"/>
      <c r="AE45" s="13">
        <f>U45-W45-X45-Z45-AB45-AD45</f>
        <v>33683.333333333328</v>
      </c>
      <c r="AF45" s="37"/>
      <c r="AG45" s="79"/>
    </row>
    <row r="46" spans="1:33" s="35" customFormat="1" ht="18.75" x14ac:dyDescent="0.3">
      <c r="A46" s="15">
        <v>42</v>
      </c>
      <c r="B46" s="15">
        <v>44</v>
      </c>
      <c r="C46" s="6" t="s">
        <v>86</v>
      </c>
      <c r="D46" s="6"/>
      <c r="E46" s="6"/>
      <c r="F46" s="7">
        <v>30</v>
      </c>
      <c r="G46" s="7">
        <f t="shared" si="2"/>
        <v>0</v>
      </c>
      <c r="H46" s="6"/>
      <c r="I46" s="38"/>
      <c r="J46" s="6">
        <f>50000+10000</f>
        <v>60000</v>
      </c>
      <c r="K46" s="6">
        <f>50000+10000</f>
        <v>60000</v>
      </c>
      <c r="L46" s="13">
        <f t="shared" si="29"/>
        <v>2000</v>
      </c>
      <c r="M46" s="16">
        <f t="shared" si="26"/>
        <v>0</v>
      </c>
      <c r="N46" s="16"/>
      <c r="O46" s="13">
        <f t="shared" si="31"/>
        <v>60000</v>
      </c>
      <c r="P46" s="13">
        <f>O46*0.7</f>
        <v>42000</v>
      </c>
      <c r="Q46" s="13">
        <f t="shared" si="32"/>
        <v>18000</v>
      </c>
      <c r="R46" s="13"/>
      <c r="S46" s="13">
        <f t="shared" si="20"/>
        <v>0</v>
      </c>
      <c r="T46" s="13"/>
      <c r="U46" s="13">
        <f t="shared" si="27"/>
        <v>60000</v>
      </c>
      <c r="V46" s="13">
        <v>0</v>
      </c>
      <c r="W46" s="13">
        <f t="shared" si="33"/>
        <v>0</v>
      </c>
      <c r="X46" s="13">
        <f t="shared" si="7"/>
        <v>0</v>
      </c>
      <c r="Y46" s="13">
        <f t="shared" si="8"/>
        <v>60000</v>
      </c>
      <c r="Z46" s="11">
        <f t="shared" si="9"/>
        <v>200</v>
      </c>
      <c r="AA46" s="17">
        <f t="shared" si="34"/>
        <v>200</v>
      </c>
      <c r="AB46" s="13"/>
      <c r="AC46" s="13"/>
      <c r="AD46" s="13"/>
      <c r="AE46" s="13">
        <f>U46-W46-X46-Z46-AB46-AD46</f>
        <v>59800</v>
      </c>
      <c r="AF46" s="37"/>
      <c r="AG46" s="79"/>
    </row>
    <row r="47" spans="1:33" ht="18.75" x14ac:dyDescent="0.3">
      <c r="A47" s="15">
        <v>47</v>
      </c>
      <c r="B47" s="15">
        <v>45</v>
      </c>
      <c r="C47" s="6" t="s">
        <v>87</v>
      </c>
      <c r="D47" s="6"/>
      <c r="E47" s="6"/>
      <c r="F47" s="7">
        <v>29</v>
      </c>
      <c r="G47" s="7">
        <f t="shared" si="2"/>
        <v>1</v>
      </c>
      <c r="H47" s="6"/>
      <c r="I47" s="38"/>
      <c r="J47" s="38"/>
      <c r="K47" s="6">
        <v>0</v>
      </c>
      <c r="L47" s="13">
        <v>356</v>
      </c>
      <c r="M47" s="9">
        <f>19+20</f>
        <v>39</v>
      </c>
      <c r="N47" s="16"/>
      <c r="O47" s="13">
        <f t="shared" si="31"/>
        <v>10324</v>
      </c>
      <c r="P47" s="13">
        <f t="shared" ref="P47:P50" si="35">O47*0.7</f>
        <v>7226.7999999999993</v>
      </c>
      <c r="Q47" s="13">
        <f t="shared" si="32"/>
        <v>3097.2</v>
      </c>
      <c r="R47" s="13">
        <f>(19+20)*F47</f>
        <v>1131</v>
      </c>
      <c r="S47" s="13">
        <f t="shared" si="20"/>
        <v>0</v>
      </c>
      <c r="T47" s="13"/>
      <c r="U47" s="13">
        <f t="shared" si="27"/>
        <v>11455</v>
      </c>
      <c r="V47" s="13">
        <f>P47</f>
        <v>7226.7999999999993</v>
      </c>
      <c r="W47" s="13">
        <f t="shared" si="33"/>
        <v>867</v>
      </c>
      <c r="X47" s="8">
        <f t="shared" si="7"/>
        <v>78</v>
      </c>
      <c r="Y47" s="8">
        <f t="shared" si="8"/>
        <v>10510</v>
      </c>
      <c r="Z47" s="11">
        <f t="shared" si="9"/>
        <v>110</v>
      </c>
      <c r="AA47" s="17">
        <v>110</v>
      </c>
      <c r="AB47" s="13"/>
      <c r="AC47" s="13"/>
      <c r="AD47" s="13"/>
      <c r="AE47" s="13">
        <f t="shared" si="30"/>
        <v>10400</v>
      </c>
      <c r="AF47" s="26"/>
      <c r="AG47" s="79">
        <f t="shared" si="22"/>
        <v>435</v>
      </c>
    </row>
    <row r="48" spans="1:33" ht="18.75" x14ac:dyDescent="0.3">
      <c r="A48" s="15">
        <v>48</v>
      </c>
      <c r="B48" s="15">
        <v>46</v>
      </c>
      <c r="C48" s="6" t="s">
        <v>88</v>
      </c>
      <c r="D48" s="6"/>
      <c r="E48" s="6"/>
      <c r="F48" s="7">
        <v>28</v>
      </c>
      <c r="G48" s="7">
        <f t="shared" si="2"/>
        <v>2</v>
      </c>
      <c r="H48" s="6"/>
      <c r="I48" s="38"/>
      <c r="J48" s="38"/>
      <c r="K48" s="6">
        <v>0</v>
      </c>
      <c r="L48" s="13">
        <v>356</v>
      </c>
      <c r="M48" s="9">
        <f>19+20</f>
        <v>39</v>
      </c>
      <c r="N48" s="16"/>
      <c r="O48" s="13">
        <f t="shared" si="31"/>
        <v>9968</v>
      </c>
      <c r="P48" s="13">
        <f t="shared" si="35"/>
        <v>6977.5999999999995</v>
      </c>
      <c r="Q48" s="13">
        <f t="shared" si="32"/>
        <v>2990.4</v>
      </c>
      <c r="R48" s="13">
        <f>(19+20)*F48</f>
        <v>1092</v>
      </c>
      <c r="S48" s="13">
        <f t="shared" si="20"/>
        <v>0</v>
      </c>
      <c r="T48" s="13"/>
      <c r="U48" s="13">
        <f t="shared" si="27"/>
        <v>11060</v>
      </c>
      <c r="V48" s="13">
        <f>P48</f>
        <v>6977.5999999999995</v>
      </c>
      <c r="W48" s="13">
        <f t="shared" si="33"/>
        <v>837</v>
      </c>
      <c r="X48" s="8">
        <f t="shared" si="7"/>
        <v>75</v>
      </c>
      <c r="Y48" s="8">
        <f t="shared" si="8"/>
        <v>10148</v>
      </c>
      <c r="Z48" s="11">
        <f t="shared" si="9"/>
        <v>110</v>
      </c>
      <c r="AA48" s="17">
        <v>110</v>
      </c>
      <c r="AB48" s="13"/>
      <c r="AC48" s="13"/>
      <c r="AD48" s="13"/>
      <c r="AE48" s="13">
        <f t="shared" si="30"/>
        <v>10038</v>
      </c>
      <c r="AF48" s="26"/>
      <c r="AG48" s="79">
        <f t="shared" si="22"/>
        <v>420</v>
      </c>
    </row>
    <row r="49" spans="1:33" ht="18.75" x14ac:dyDescent="0.3">
      <c r="A49" s="15">
        <v>49</v>
      </c>
      <c r="B49" s="15">
        <v>47</v>
      </c>
      <c r="C49" s="6" t="s">
        <v>89</v>
      </c>
      <c r="D49" s="6"/>
      <c r="E49" s="6"/>
      <c r="F49" s="7">
        <v>26</v>
      </c>
      <c r="G49" s="7">
        <f t="shared" si="2"/>
        <v>4</v>
      </c>
      <c r="H49" s="6"/>
      <c r="I49" s="27" t="s">
        <v>58</v>
      </c>
      <c r="J49" s="27"/>
      <c r="K49" s="6">
        <v>0</v>
      </c>
      <c r="L49" s="13">
        <v>334</v>
      </c>
      <c r="M49" s="9">
        <f>26+25</f>
        <v>51</v>
      </c>
      <c r="N49" s="16"/>
      <c r="O49" s="13">
        <f t="shared" si="31"/>
        <v>8684</v>
      </c>
      <c r="P49" s="13">
        <f t="shared" si="35"/>
        <v>6078.7999999999993</v>
      </c>
      <c r="Q49" s="13">
        <f t="shared" si="32"/>
        <v>2605.1999999999998</v>
      </c>
      <c r="R49" s="13">
        <f>(26+25)*F49</f>
        <v>1326</v>
      </c>
      <c r="S49" s="13">
        <f t="shared" si="20"/>
        <v>0</v>
      </c>
      <c r="T49" s="13"/>
      <c r="U49" s="13">
        <f t="shared" si="27"/>
        <v>10010</v>
      </c>
      <c r="V49" s="13">
        <f>P49</f>
        <v>6078.7999999999993</v>
      </c>
      <c r="W49" s="13">
        <f t="shared" si="33"/>
        <v>729</v>
      </c>
      <c r="X49" s="8">
        <f t="shared" si="7"/>
        <v>66</v>
      </c>
      <c r="Y49" s="8">
        <f t="shared" si="8"/>
        <v>9215</v>
      </c>
      <c r="Z49" s="11">
        <f t="shared" si="9"/>
        <v>110</v>
      </c>
      <c r="AA49" s="17">
        <f t="shared" si="10"/>
        <v>110</v>
      </c>
      <c r="AB49" s="13"/>
      <c r="AC49" s="13"/>
      <c r="AD49" s="13"/>
      <c r="AE49" s="13">
        <f t="shared" si="30"/>
        <v>9105</v>
      </c>
      <c r="AF49" s="26"/>
      <c r="AG49" s="79">
        <f t="shared" si="22"/>
        <v>390</v>
      </c>
    </row>
    <row r="50" spans="1:33" ht="18.75" x14ac:dyDescent="0.3">
      <c r="A50" s="15">
        <v>50</v>
      </c>
      <c r="B50" s="15">
        <v>48</v>
      </c>
      <c r="C50" s="6" t="s">
        <v>90</v>
      </c>
      <c r="D50" s="6"/>
      <c r="E50" s="6"/>
      <c r="F50" s="7">
        <v>29</v>
      </c>
      <c r="G50" s="7">
        <f t="shared" si="2"/>
        <v>1</v>
      </c>
      <c r="H50" s="6"/>
      <c r="I50" s="27" t="s">
        <v>58</v>
      </c>
      <c r="J50" s="27"/>
      <c r="K50" s="6">
        <v>0</v>
      </c>
      <c r="L50" s="13">
        <v>325</v>
      </c>
      <c r="M50" s="9">
        <f>15+45</f>
        <v>60</v>
      </c>
      <c r="N50" s="16"/>
      <c r="O50" s="13">
        <f t="shared" si="31"/>
        <v>9425</v>
      </c>
      <c r="P50" s="13">
        <f t="shared" si="35"/>
        <v>6597.5</v>
      </c>
      <c r="Q50" s="13">
        <f t="shared" si="32"/>
        <v>2827.5</v>
      </c>
      <c r="R50" s="13">
        <f>(15+45)*F50</f>
        <v>1740</v>
      </c>
      <c r="S50" s="13">
        <f t="shared" si="20"/>
        <v>0</v>
      </c>
      <c r="T50" s="13"/>
      <c r="U50" s="13">
        <f t="shared" si="27"/>
        <v>11165</v>
      </c>
      <c r="V50" s="13">
        <f>P50</f>
        <v>6597.5</v>
      </c>
      <c r="W50" s="13">
        <f t="shared" si="33"/>
        <v>792</v>
      </c>
      <c r="X50" s="8">
        <f t="shared" si="7"/>
        <v>71</v>
      </c>
      <c r="Y50" s="8">
        <f t="shared" si="8"/>
        <v>10302</v>
      </c>
      <c r="Z50" s="11">
        <f t="shared" si="9"/>
        <v>110</v>
      </c>
      <c r="AA50" s="17">
        <f t="shared" si="10"/>
        <v>110</v>
      </c>
      <c r="AB50" s="13"/>
      <c r="AC50" s="13"/>
      <c r="AD50" s="13"/>
      <c r="AE50" s="13">
        <f t="shared" si="30"/>
        <v>10192</v>
      </c>
      <c r="AF50" s="26"/>
      <c r="AG50" s="79">
        <f t="shared" si="22"/>
        <v>435</v>
      </c>
    </row>
    <row r="51" spans="1:33" ht="18.75" x14ac:dyDescent="0.3">
      <c r="A51" s="15">
        <v>51</v>
      </c>
      <c r="B51" s="15">
        <v>49</v>
      </c>
      <c r="C51" s="6" t="s">
        <v>91</v>
      </c>
      <c r="D51" s="6"/>
      <c r="E51" s="6"/>
      <c r="F51" s="7">
        <v>30</v>
      </c>
      <c r="G51" s="7">
        <f t="shared" si="2"/>
        <v>0</v>
      </c>
      <c r="H51" s="6"/>
      <c r="I51" s="27"/>
      <c r="J51" s="6">
        <v>51000</v>
      </c>
      <c r="K51" s="6">
        <v>51000</v>
      </c>
      <c r="L51" s="13">
        <f>K51/30</f>
        <v>1700</v>
      </c>
      <c r="M51" s="8">
        <f>N51/30</f>
        <v>0</v>
      </c>
      <c r="N51" s="16"/>
      <c r="O51" s="13">
        <f t="shared" si="31"/>
        <v>51000</v>
      </c>
      <c r="P51" s="13">
        <f>O51*0.51</f>
        <v>26010</v>
      </c>
      <c r="Q51" s="13">
        <f>O51*0.49</f>
        <v>24990</v>
      </c>
      <c r="R51" s="13"/>
      <c r="S51" s="16">
        <f t="shared" si="20"/>
        <v>0</v>
      </c>
      <c r="T51" s="13"/>
      <c r="U51" s="13">
        <f t="shared" si="27"/>
        <v>51000</v>
      </c>
      <c r="V51" s="13">
        <v>0</v>
      </c>
      <c r="W51" s="13">
        <f t="shared" si="33"/>
        <v>0</v>
      </c>
      <c r="X51" s="8">
        <f t="shared" si="7"/>
        <v>0</v>
      </c>
      <c r="Y51" s="8">
        <f t="shared" si="8"/>
        <v>51000</v>
      </c>
      <c r="Z51" s="11">
        <f t="shared" si="9"/>
        <v>200</v>
      </c>
      <c r="AA51" s="17">
        <v>200</v>
      </c>
      <c r="AB51" s="13"/>
      <c r="AC51" s="13"/>
      <c r="AD51" s="13"/>
      <c r="AE51" s="53">
        <f t="shared" si="30"/>
        <v>50800</v>
      </c>
      <c r="AF51" s="37"/>
      <c r="AG51" s="79"/>
    </row>
    <row r="52" spans="1:33" ht="18.75" x14ac:dyDescent="0.3">
      <c r="A52" s="15">
        <v>52</v>
      </c>
      <c r="B52" s="15">
        <v>50</v>
      </c>
      <c r="C52" s="6" t="s">
        <v>92</v>
      </c>
      <c r="D52" s="6"/>
      <c r="E52" s="6"/>
      <c r="F52" s="7">
        <v>30</v>
      </c>
      <c r="G52" s="7">
        <f t="shared" si="2"/>
        <v>0</v>
      </c>
      <c r="H52" s="6"/>
      <c r="I52" s="39"/>
      <c r="J52" s="6">
        <f>50000+10000</f>
        <v>60000</v>
      </c>
      <c r="K52" s="6">
        <f>50000+10000</f>
        <v>60000</v>
      </c>
      <c r="L52" s="13">
        <f>K52/30</f>
        <v>2000</v>
      </c>
      <c r="M52" s="16">
        <f>R52/30</f>
        <v>0</v>
      </c>
      <c r="N52" s="16"/>
      <c r="O52" s="13">
        <f t="shared" si="31"/>
        <v>60000</v>
      </c>
      <c r="P52" s="13">
        <f>O52*0.7</f>
        <v>42000</v>
      </c>
      <c r="Q52" s="13">
        <f t="shared" si="32"/>
        <v>18000</v>
      </c>
      <c r="R52" s="13"/>
      <c r="S52" s="13">
        <f t="shared" si="20"/>
        <v>0</v>
      </c>
      <c r="T52" s="13"/>
      <c r="U52" s="13">
        <f t="shared" si="27"/>
        <v>60000</v>
      </c>
      <c r="V52" s="13">
        <v>0</v>
      </c>
      <c r="W52" s="13">
        <f t="shared" si="33"/>
        <v>0</v>
      </c>
      <c r="X52" s="8">
        <f t="shared" si="7"/>
        <v>0</v>
      </c>
      <c r="Y52" s="8">
        <f t="shared" si="8"/>
        <v>60000</v>
      </c>
      <c r="Z52" s="11"/>
      <c r="AA52" s="17">
        <f t="shared" si="10"/>
        <v>0</v>
      </c>
      <c r="AB52" s="13"/>
      <c r="AC52" s="13"/>
      <c r="AD52" s="13">
        <v>15000</v>
      </c>
      <c r="AE52" s="13">
        <f>Y52-AD52</f>
        <v>45000</v>
      </c>
      <c r="AF52" s="37"/>
      <c r="AG52" s="79"/>
    </row>
    <row r="53" spans="1:33" ht="18.75" x14ac:dyDescent="0.3">
      <c r="A53" s="15">
        <v>53</v>
      </c>
      <c r="B53" s="15">
        <v>51</v>
      </c>
      <c r="C53" s="6" t="s">
        <v>93</v>
      </c>
      <c r="D53" s="6" t="s">
        <v>31</v>
      </c>
      <c r="E53" s="6"/>
      <c r="F53" s="7">
        <v>8</v>
      </c>
      <c r="G53" s="7">
        <f t="shared" si="2"/>
        <v>22</v>
      </c>
      <c r="H53" s="6"/>
      <c r="I53" s="39"/>
      <c r="J53" s="6">
        <v>21700</v>
      </c>
      <c r="K53" s="6">
        <v>16000</v>
      </c>
      <c r="L53" s="13">
        <f>K53/30</f>
        <v>533.33333333333337</v>
      </c>
      <c r="M53" s="16">
        <f>R53/30</f>
        <v>68.444444444444443</v>
      </c>
      <c r="N53" s="16">
        <f>2000+1000+2000+700+2000</f>
        <v>7700</v>
      </c>
      <c r="O53" s="13">
        <f t="shared" si="31"/>
        <v>4266.666666666667</v>
      </c>
      <c r="P53" s="13">
        <f>O53*0.7</f>
        <v>2986.6666666666665</v>
      </c>
      <c r="Q53" s="13">
        <f t="shared" si="32"/>
        <v>1280</v>
      </c>
      <c r="R53" s="13">
        <f>(1000+1000+1000+2000+700+2000)/30*F53</f>
        <v>2053.3333333333335</v>
      </c>
      <c r="S53" s="16">
        <f t="shared" si="20"/>
        <v>0</v>
      </c>
      <c r="T53" s="13"/>
      <c r="U53" s="13">
        <f t="shared" si="27"/>
        <v>6320</v>
      </c>
      <c r="V53" s="13">
        <f>P53</f>
        <v>2986.6666666666665</v>
      </c>
      <c r="W53" s="13">
        <f t="shared" si="33"/>
        <v>358</v>
      </c>
      <c r="X53" s="8">
        <f t="shared" si="7"/>
        <v>0</v>
      </c>
      <c r="Y53" s="8">
        <f t="shared" si="8"/>
        <v>5962</v>
      </c>
      <c r="Z53" s="11">
        <f t="shared" si="9"/>
        <v>0</v>
      </c>
      <c r="AA53" s="17">
        <v>130</v>
      </c>
      <c r="AB53" s="13"/>
      <c r="AC53" s="13"/>
      <c r="AD53" s="13"/>
      <c r="AE53" s="13">
        <f>U53-W53-X53-Z53-AB53</f>
        <v>5962</v>
      </c>
      <c r="AF53" s="37"/>
      <c r="AG53" s="79"/>
    </row>
    <row r="54" spans="1:33" ht="18.75" x14ac:dyDescent="0.3">
      <c r="A54" s="15">
        <v>54</v>
      </c>
      <c r="B54" s="15">
        <v>52</v>
      </c>
      <c r="C54" s="6" t="s">
        <v>94</v>
      </c>
      <c r="D54" s="6"/>
      <c r="E54" s="6"/>
      <c r="F54" s="7">
        <v>29</v>
      </c>
      <c r="G54" s="7">
        <f t="shared" si="2"/>
        <v>1</v>
      </c>
      <c r="H54" s="6"/>
      <c r="I54" s="27" t="s">
        <v>49</v>
      </c>
      <c r="J54" s="27"/>
      <c r="K54" s="6"/>
      <c r="L54" s="13">
        <v>320</v>
      </c>
      <c r="M54" s="16">
        <v>20</v>
      </c>
      <c r="N54" s="16"/>
      <c r="O54" s="13">
        <f t="shared" si="31"/>
        <v>9280</v>
      </c>
      <c r="P54" s="13">
        <f t="shared" ref="P54" si="36">O54*0.7</f>
        <v>6496</v>
      </c>
      <c r="Q54" s="13">
        <f t="shared" si="32"/>
        <v>2784</v>
      </c>
      <c r="R54" s="13">
        <f>20*F54</f>
        <v>580</v>
      </c>
      <c r="S54" s="13">
        <f t="shared" si="20"/>
        <v>0</v>
      </c>
      <c r="T54" s="13"/>
      <c r="U54" s="8">
        <f t="shared" ref="U54:U55" si="37">P54+Q54+S54+R54+T54</f>
        <v>9860</v>
      </c>
      <c r="V54" s="13">
        <f t="shared" ref="V54" si="38">P54</f>
        <v>6496</v>
      </c>
      <c r="W54" s="13">
        <f t="shared" si="33"/>
        <v>780</v>
      </c>
      <c r="X54" s="8">
        <f t="shared" si="7"/>
        <v>70</v>
      </c>
      <c r="Y54" s="8">
        <f t="shared" si="8"/>
        <v>9010</v>
      </c>
      <c r="Z54" s="11">
        <f t="shared" si="9"/>
        <v>0</v>
      </c>
      <c r="AA54" s="17"/>
      <c r="AB54" s="13"/>
      <c r="AC54" s="13"/>
      <c r="AD54" s="13"/>
      <c r="AE54" s="13">
        <f>U54-W54-X54-Z54-AB54-AC54</f>
        <v>9010</v>
      </c>
      <c r="AF54" s="37"/>
      <c r="AG54" s="79">
        <f t="shared" si="22"/>
        <v>435</v>
      </c>
    </row>
    <row r="55" spans="1:33" s="42" customFormat="1" ht="18.75" x14ac:dyDescent="0.3">
      <c r="A55" s="19">
        <v>55</v>
      </c>
      <c r="B55" s="19">
        <v>53</v>
      </c>
      <c r="C55" s="20" t="s">
        <v>95</v>
      </c>
      <c r="D55" s="20"/>
      <c r="E55" s="20"/>
      <c r="F55" s="20">
        <v>30</v>
      </c>
      <c r="G55" s="20">
        <f t="shared" si="2"/>
        <v>0</v>
      </c>
      <c r="H55" s="20"/>
      <c r="I55" s="20"/>
      <c r="J55" s="20">
        <v>23000</v>
      </c>
      <c r="K55" s="20">
        <v>22000</v>
      </c>
      <c r="L55" s="21">
        <f>K55/30</f>
        <v>733.33333333333337</v>
      </c>
      <c r="M55" s="21">
        <f>N55/30</f>
        <v>33.333333333333336</v>
      </c>
      <c r="N55" s="22">
        <v>1000</v>
      </c>
      <c r="O55" s="21">
        <f>L55*F55</f>
        <v>22000</v>
      </c>
      <c r="P55" s="21">
        <f>O55*1</f>
        <v>22000</v>
      </c>
      <c r="Q55" s="40">
        <v>0</v>
      </c>
      <c r="R55" s="21">
        <f>(N55)/30*F55</f>
        <v>1000.0000000000001</v>
      </c>
      <c r="S55" s="22">
        <f t="shared" ref="S55" si="39">(L55+M55)*H55</f>
        <v>0</v>
      </c>
      <c r="T55" s="21"/>
      <c r="U55" s="21">
        <f t="shared" si="37"/>
        <v>23000</v>
      </c>
      <c r="V55" s="40">
        <v>0</v>
      </c>
      <c r="W55" s="40">
        <f>IF(V55&lt;=15000,V55*12%,IF(V55&gt;15000,0))</f>
        <v>0</v>
      </c>
      <c r="X55" s="21">
        <f t="shared" si="7"/>
        <v>0</v>
      </c>
      <c r="Y55" s="21">
        <f>U55-W55-X55</f>
        <v>23000</v>
      </c>
      <c r="Z55" s="23">
        <f>IF(U55&gt;40000,200,IF(U55&gt;25000,150,IF(U55&gt;15000,130,IF(U55&gt;10000,110,0))))</f>
        <v>130</v>
      </c>
      <c r="AA55" s="24">
        <v>130</v>
      </c>
      <c r="AB55" s="21"/>
      <c r="AC55" s="40"/>
      <c r="AD55" s="40"/>
      <c r="AE55" s="21">
        <f>U55-W55-X55-Z55-AB55</f>
        <v>22870</v>
      </c>
      <c r="AF55" s="41"/>
      <c r="AG55" s="79"/>
    </row>
    <row r="56" spans="1:33" ht="18.75" x14ac:dyDescent="0.3">
      <c r="A56" s="43"/>
      <c r="B56" s="43"/>
      <c r="C56" s="44" t="s">
        <v>96</v>
      </c>
      <c r="D56" s="44"/>
      <c r="E56" s="44"/>
      <c r="F56" s="44">
        <f>SUM(F3:F55)</f>
        <v>1470</v>
      </c>
      <c r="G56" s="44"/>
      <c r="H56" s="44">
        <f>SUM(H3:H55)</f>
        <v>4</v>
      </c>
      <c r="I56" s="45"/>
      <c r="J56" s="45"/>
      <c r="K56" s="44"/>
      <c r="L56" s="44">
        <f>SUM(L3:L55)</f>
        <v>28269.333333333328</v>
      </c>
      <c r="M56" s="44">
        <f>SUM(M3:M55)</f>
        <v>3235.7777777777778</v>
      </c>
      <c r="N56" s="44"/>
      <c r="O56" s="44">
        <f>SUM(O3:O55)</f>
        <v>795666</v>
      </c>
      <c r="P56" s="46">
        <f>SUM(P3:P55)</f>
        <v>578681.19999999984</v>
      </c>
      <c r="Q56" s="47">
        <f>SUM(Q3:Q55)</f>
        <v>216984.80000000002</v>
      </c>
      <c r="R56" s="47">
        <f>SUM(R3:R55)</f>
        <v>88580.666666666657</v>
      </c>
      <c r="S56" s="44">
        <f>SUM(S3:S55)</f>
        <v>2400</v>
      </c>
      <c r="T56" s="47">
        <v>300</v>
      </c>
      <c r="U56" s="48">
        <f t="shared" ref="U56:Z56" si="40">SUM(U3:U55)</f>
        <v>886946.66666666674</v>
      </c>
      <c r="V56" s="48">
        <f t="shared" si="40"/>
        <v>263304.53333333327</v>
      </c>
      <c r="W56" s="48">
        <f t="shared" si="40"/>
        <v>31595</v>
      </c>
      <c r="X56" s="48">
        <f t="shared" si="40"/>
        <v>2685</v>
      </c>
      <c r="Y56" s="48">
        <f t="shared" si="40"/>
        <v>852666.66666666674</v>
      </c>
      <c r="Z56" s="48">
        <f t="shared" si="40"/>
        <v>4930</v>
      </c>
      <c r="AA56" s="49">
        <v>4400</v>
      </c>
      <c r="AB56" s="49">
        <f>SUM(AB3:AB54)</f>
        <v>0</v>
      </c>
      <c r="AC56" s="49"/>
      <c r="AD56" s="49">
        <f>SUM(AD3:AD54)</f>
        <v>15000</v>
      </c>
      <c r="AE56" s="50">
        <v>819959</v>
      </c>
      <c r="AF56" s="37"/>
      <c r="AG56" s="79"/>
    </row>
    <row r="57" spans="1:33" ht="18.75" x14ac:dyDescent="0.3">
      <c r="U57" s="35"/>
      <c r="V57" s="35"/>
      <c r="W57" s="35"/>
      <c r="X57" s="35"/>
      <c r="Y57" s="51"/>
      <c r="Z57" s="35"/>
      <c r="AA57" s="35"/>
      <c r="AB57" s="35"/>
      <c r="AC57" s="35"/>
      <c r="AD57" s="35"/>
      <c r="AE57" s="52"/>
      <c r="AF57" s="35"/>
      <c r="AG57" s="79"/>
    </row>
    <row r="58" spans="1:33" ht="18.75" x14ac:dyDescent="0.3">
      <c r="AG58" s="79"/>
    </row>
    <row r="59" spans="1:33" ht="18.75" x14ac:dyDescent="0.3">
      <c r="AG59" s="79"/>
    </row>
    <row r="60" spans="1:33" x14ac:dyDescent="0.25">
      <c r="AG60" s="80"/>
    </row>
    <row r="61" spans="1:33" x14ac:dyDescent="0.25">
      <c r="AG61" s="80"/>
    </row>
    <row r="65" spans="19:46" s="58" customFormat="1" ht="18" x14ac:dyDescent="0.25"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</row>
  </sheetData>
  <mergeCells count="1">
    <mergeCell ref="B1:AE1"/>
  </mergeCells>
  <pageMargins left="0.25" right="0.25" top="0.75" bottom="0.75" header="0.3" footer="0.3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5"/>
  <sheetViews>
    <sheetView topLeftCell="B49" zoomScale="78" zoomScaleNormal="78" workbookViewId="0">
      <pane xSplit="1" topLeftCell="C1" activePane="topRight" state="frozen"/>
      <selection activeCell="B1" sqref="B1"/>
      <selection pane="topRight" activeCell="F72" sqref="F72"/>
    </sheetView>
  </sheetViews>
  <sheetFormatPr defaultRowHeight="15" x14ac:dyDescent="0.25"/>
  <cols>
    <col min="1" max="1" width="0" hidden="1" customWidth="1"/>
    <col min="2" max="2" width="7.28515625" customWidth="1"/>
    <col min="3" max="3" width="40" customWidth="1"/>
    <col min="4" max="4" width="25.5703125" hidden="1" customWidth="1"/>
    <col min="5" max="5" width="2" hidden="1" customWidth="1"/>
    <col min="6" max="6" width="8.140625" bestFit="1" customWidth="1"/>
    <col min="9" max="9" width="9.140625" hidden="1" customWidth="1"/>
    <col min="10" max="11" width="9.85546875" bestFit="1" customWidth="1"/>
    <col min="12" max="12" width="12.85546875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4" s="55" customFormat="1" ht="45.75" customHeight="1" x14ac:dyDescent="0.25">
      <c r="B1" s="84" t="s">
        <v>98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6"/>
    </row>
    <row r="2" spans="1:34" s="4" customFormat="1" ht="94.5" x14ac:dyDescent="0.25">
      <c r="A2" s="59" t="s">
        <v>0</v>
      </c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4</v>
      </c>
      <c r="J2" s="59" t="s">
        <v>8</v>
      </c>
      <c r="K2" s="59" t="s">
        <v>9</v>
      </c>
      <c r="L2" s="59" t="s">
        <v>10</v>
      </c>
      <c r="M2" s="59" t="s">
        <v>11</v>
      </c>
      <c r="N2" s="59" t="s">
        <v>12</v>
      </c>
      <c r="O2" s="59" t="s">
        <v>13</v>
      </c>
      <c r="P2" s="59" t="s">
        <v>14</v>
      </c>
      <c r="Q2" s="59" t="s">
        <v>15</v>
      </c>
      <c r="R2" s="59" t="s">
        <v>16</v>
      </c>
      <c r="S2" s="59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59" t="s">
        <v>23</v>
      </c>
      <c r="Z2" s="60" t="s">
        <v>24</v>
      </c>
      <c r="AA2" s="59" t="s">
        <v>25</v>
      </c>
      <c r="AB2" s="59" t="s">
        <v>26</v>
      </c>
      <c r="AC2" s="59" t="s">
        <v>27</v>
      </c>
      <c r="AD2" s="59" t="s">
        <v>28</v>
      </c>
      <c r="AE2" s="59" t="s">
        <v>29</v>
      </c>
      <c r="AF2" s="3"/>
    </row>
    <row r="3" spans="1:34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30</v>
      </c>
      <c r="G3" s="7">
        <f>31-F3</f>
        <v>1</v>
      </c>
      <c r="H3" s="7">
        <v>1</v>
      </c>
      <c r="I3" s="7"/>
      <c r="J3" s="7">
        <v>26200</v>
      </c>
      <c r="K3" s="7">
        <v>19500</v>
      </c>
      <c r="L3" s="8">
        <f>K3/31</f>
        <v>629.0322580645161</v>
      </c>
      <c r="M3" s="8">
        <f>N3/31</f>
        <v>216.12903225806451</v>
      </c>
      <c r="N3" s="9">
        <f>1000+1000+2000+700+2000</f>
        <v>6700</v>
      </c>
      <c r="O3" s="8">
        <f>L3*F3</f>
        <v>18870.967741935485</v>
      </c>
      <c r="P3" s="8">
        <f>O3*1</f>
        <v>18870.967741935485</v>
      </c>
      <c r="Q3" s="10">
        <v>0</v>
      </c>
      <c r="R3" s="8">
        <f>(1000+1000+2000+700+2000)/31*F3</f>
        <v>6483.8709677419356</v>
      </c>
      <c r="S3" s="9">
        <f t="shared" ref="S3:S16" si="0">(L3+M3)*H3</f>
        <v>845.16129032258061</v>
      </c>
      <c r="T3" s="8">
        <v>150</v>
      </c>
      <c r="U3" s="8">
        <f t="shared" ref="U3:U40" si="1">P3+Q3+S3+R3+T3</f>
        <v>26350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26350</v>
      </c>
      <c r="Z3" s="11">
        <f>IF(U3&gt;40000,200,IF(U3&gt;25000,150,IF(U3&gt;15000,130,IF(U3&gt;10000,110,0))))</f>
        <v>150</v>
      </c>
      <c r="AA3" s="12">
        <v>130</v>
      </c>
      <c r="AB3" s="8"/>
      <c r="AC3" s="10"/>
      <c r="AD3" s="10"/>
      <c r="AE3" s="13">
        <f>U3-W3-X3-Z3-AB3</f>
        <v>26200</v>
      </c>
      <c r="AF3" s="14"/>
    </row>
    <row r="4" spans="1:34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31</v>
      </c>
      <c r="G4" s="7">
        <f t="shared" ref="G4:G55" si="2">31-F4</f>
        <v>0</v>
      </c>
      <c r="H4" s="6"/>
      <c r="I4" s="6"/>
      <c r="J4" s="6">
        <v>13500</v>
      </c>
      <c r="K4" s="6">
        <f>11000</f>
        <v>11000</v>
      </c>
      <c r="L4" s="8">
        <f t="shared" ref="L4:L14" si="3">K4/31</f>
        <v>354.83870967741933</v>
      </c>
      <c r="M4" s="8">
        <f t="shared" ref="M4:M14" si="4">N4/31</f>
        <v>80.645161290322577</v>
      </c>
      <c r="N4" s="16">
        <f>2000+500</f>
        <v>2500</v>
      </c>
      <c r="O4" s="13">
        <f t="shared" ref="O4:O25" si="5">L4*F4</f>
        <v>11000</v>
      </c>
      <c r="P4" s="13">
        <f>O4*0.7</f>
        <v>7699.9999999999991</v>
      </c>
      <c r="Q4" s="13">
        <f t="shared" ref="Q4:Q5" si="6">O4*0.3</f>
        <v>3300</v>
      </c>
      <c r="R4" s="13">
        <f>(1000+600+400+500)/31*F4</f>
        <v>2500</v>
      </c>
      <c r="S4" s="16">
        <f t="shared" si="0"/>
        <v>0</v>
      </c>
      <c r="T4" s="13"/>
      <c r="U4" s="8">
        <f t="shared" si="1"/>
        <v>13500</v>
      </c>
      <c r="V4" s="13">
        <f>P4</f>
        <v>7699.9999999999991</v>
      </c>
      <c r="W4" s="13">
        <f>ROUND(IF(V4&lt;=15000,V4*12%,IF(V4&gt;15000,0)),0)</f>
        <v>924</v>
      </c>
      <c r="X4" s="8">
        <f t="shared" ref="X4:X55" si="7">IF(J4&lt;=21000,ROUNDUP(O4*0.75%,0),0)</f>
        <v>83</v>
      </c>
      <c r="Y4" s="8">
        <f t="shared" ref="Y4:Y54" si="8">U4-W4-X4</f>
        <v>12493</v>
      </c>
      <c r="Z4" s="11">
        <f t="shared" ref="Z4:Z54" si="9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12383</v>
      </c>
      <c r="AF4" s="14"/>
    </row>
    <row r="5" spans="1:34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29</v>
      </c>
      <c r="G5" s="7">
        <f t="shared" si="2"/>
        <v>2</v>
      </c>
      <c r="H5" s="7"/>
      <c r="I5" s="7"/>
      <c r="J5" s="7">
        <v>16950</v>
      </c>
      <c r="K5" s="7">
        <f>11000+1000</f>
        <v>12000</v>
      </c>
      <c r="L5" s="8">
        <f t="shared" si="3"/>
        <v>387.09677419354841</v>
      </c>
      <c r="M5" s="8">
        <f t="shared" si="4"/>
        <v>159.67741935483872</v>
      </c>
      <c r="N5" s="9">
        <f>1000+1000+1500+700+750</f>
        <v>4950</v>
      </c>
      <c r="O5" s="8">
        <f t="shared" si="5"/>
        <v>11225.806451612903</v>
      </c>
      <c r="P5" s="8">
        <f>O5*0.7</f>
        <v>7858.0645161290322</v>
      </c>
      <c r="Q5" s="13">
        <f t="shared" si="6"/>
        <v>3367.7419354838707</v>
      </c>
      <c r="R5" s="8">
        <f>(1000+1000+1500+700+750)/31*F5</f>
        <v>4630.6451612903229</v>
      </c>
      <c r="S5" s="9">
        <f t="shared" si="0"/>
        <v>0</v>
      </c>
      <c r="T5" s="8"/>
      <c r="U5" s="8">
        <f t="shared" si="1"/>
        <v>15856.451612903227</v>
      </c>
      <c r="V5" s="8">
        <f>P5</f>
        <v>7858.0645161290322</v>
      </c>
      <c r="W5" s="8">
        <f>ROUND(IF(V5&lt;=15000,V5*12%,IF(V5&gt;15000,0)),0)</f>
        <v>943</v>
      </c>
      <c r="X5" s="8">
        <f t="shared" si="7"/>
        <v>85</v>
      </c>
      <c r="Y5" s="8">
        <f t="shared" si="8"/>
        <v>14828.451612903227</v>
      </c>
      <c r="Z5" s="11">
        <f t="shared" si="9"/>
        <v>130</v>
      </c>
      <c r="AA5" s="17">
        <v>110</v>
      </c>
      <c r="AB5" s="10"/>
      <c r="AC5" s="10"/>
      <c r="AD5" s="10"/>
      <c r="AE5" s="13">
        <f>U5-W5-X5-Z5-AB5</f>
        <v>14698.451612903227</v>
      </c>
      <c r="AF5" s="14"/>
    </row>
    <row r="6" spans="1:34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25</v>
      </c>
      <c r="G6" s="7">
        <f t="shared" si="2"/>
        <v>6</v>
      </c>
      <c r="H6" s="6"/>
      <c r="I6" s="6"/>
      <c r="J6" s="6">
        <v>22700</v>
      </c>
      <c r="K6" s="6">
        <f>16000+1000</f>
        <v>17000</v>
      </c>
      <c r="L6" s="8">
        <f t="shared" si="3"/>
        <v>548.38709677419354</v>
      </c>
      <c r="M6" s="8">
        <f t="shared" si="4"/>
        <v>183.87096774193549</v>
      </c>
      <c r="N6" s="16">
        <f>1000+1000+1500+700+1500</f>
        <v>5700</v>
      </c>
      <c r="O6" s="13">
        <f t="shared" si="5"/>
        <v>13709.677419354839</v>
      </c>
      <c r="P6" s="13">
        <f>O6*1</f>
        <v>13709.677419354839</v>
      </c>
      <c r="Q6" s="13">
        <v>0</v>
      </c>
      <c r="R6" s="13">
        <f>(1000+1000+1500+700+1500)/31*F6</f>
        <v>4596.7741935483873</v>
      </c>
      <c r="S6" s="16">
        <f t="shared" si="0"/>
        <v>0</v>
      </c>
      <c r="T6" s="13"/>
      <c r="U6" s="13">
        <f t="shared" si="1"/>
        <v>18306.451612903227</v>
      </c>
      <c r="V6" s="13">
        <v>0</v>
      </c>
      <c r="W6" s="13">
        <f>IF(V6&lt;=15000,V6*12%,IF(V6&gt;15000,0))</f>
        <v>0</v>
      </c>
      <c r="X6" s="13">
        <f t="shared" si="7"/>
        <v>0</v>
      </c>
      <c r="Y6" s="13">
        <f t="shared" si="8"/>
        <v>18306.451612903227</v>
      </c>
      <c r="Z6" s="11">
        <f t="shared" si="9"/>
        <v>130</v>
      </c>
      <c r="AA6" s="17">
        <f t="shared" ref="AA6:AA52" si="10">Z6</f>
        <v>130</v>
      </c>
      <c r="AB6" s="13"/>
      <c r="AC6" s="18"/>
      <c r="AD6" s="18"/>
      <c r="AE6" s="13">
        <f>U6-W6-X6-Z6-AB6</f>
        <v>18176.451612903227</v>
      </c>
      <c r="AF6" s="14"/>
    </row>
    <row r="7" spans="1:34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31</v>
      </c>
      <c r="G7" s="7">
        <f t="shared" si="2"/>
        <v>0</v>
      </c>
      <c r="H7" s="7"/>
      <c r="I7" s="7"/>
      <c r="J7" s="7">
        <v>14500</v>
      </c>
      <c r="K7" s="7">
        <f>9500+700</f>
        <v>10200</v>
      </c>
      <c r="L7" s="8">
        <f t="shared" si="3"/>
        <v>329.03225806451616</v>
      </c>
      <c r="M7" s="8">
        <f t="shared" si="4"/>
        <v>138.70967741935485</v>
      </c>
      <c r="N7" s="9">
        <f>2800+1500</f>
        <v>4300</v>
      </c>
      <c r="O7" s="8">
        <f t="shared" si="5"/>
        <v>10200</v>
      </c>
      <c r="P7" s="8">
        <f t="shared" ref="P7:P43" si="11">O7*0.7</f>
        <v>7140</v>
      </c>
      <c r="Q7" s="13">
        <f>O7*0.3</f>
        <v>3060</v>
      </c>
      <c r="R7" s="8">
        <f>(800+1000+1000+1500)/31*F7</f>
        <v>4300</v>
      </c>
      <c r="S7" s="9">
        <f t="shared" si="0"/>
        <v>0</v>
      </c>
      <c r="T7" s="8"/>
      <c r="U7" s="8">
        <f t="shared" si="1"/>
        <v>14500</v>
      </c>
      <c r="V7" s="8">
        <f>P7</f>
        <v>7140</v>
      </c>
      <c r="W7" s="8">
        <f t="shared" ref="W7:W41" si="12">ROUND(IF(V7&lt;=15000,V7*12%,IF(V7&gt;15000,0)),0)</f>
        <v>857</v>
      </c>
      <c r="X7" s="8">
        <f t="shared" si="7"/>
        <v>77</v>
      </c>
      <c r="Y7" s="8">
        <f t="shared" si="8"/>
        <v>13566</v>
      </c>
      <c r="Z7" s="11">
        <f t="shared" si="9"/>
        <v>110</v>
      </c>
      <c r="AA7" s="17">
        <v>110</v>
      </c>
      <c r="AB7" s="8"/>
      <c r="AC7" s="8"/>
      <c r="AD7" s="8"/>
      <c r="AE7" s="13">
        <f>(U7-W7-X7-Z7-AB7)</f>
        <v>13456</v>
      </c>
      <c r="AF7" s="14"/>
    </row>
    <row r="8" spans="1:34" ht="18" hidden="1" customHeight="1" x14ac:dyDescent="0.25">
      <c r="A8" s="5">
        <v>6</v>
      </c>
      <c r="B8" s="5">
        <v>6</v>
      </c>
      <c r="C8" s="6" t="s">
        <v>38</v>
      </c>
      <c r="D8" s="7" t="s">
        <v>39</v>
      </c>
      <c r="E8" s="7"/>
      <c r="F8" s="7"/>
      <c r="G8" s="7">
        <f t="shared" si="2"/>
        <v>31</v>
      </c>
      <c r="H8" s="7"/>
      <c r="I8" s="7"/>
      <c r="J8" s="7">
        <v>18000</v>
      </c>
      <c r="K8" s="7">
        <f>12000+1000</f>
        <v>13000</v>
      </c>
      <c r="L8" s="8">
        <f t="shared" si="3"/>
        <v>419.35483870967744</v>
      </c>
      <c r="M8" s="8">
        <f t="shared" si="4"/>
        <v>161.29032258064515</v>
      </c>
      <c r="N8" s="9">
        <f>2000+500+500+1000+1000</f>
        <v>5000</v>
      </c>
      <c r="O8" s="8">
        <f t="shared" si="5"/>
        <v>0</v>
      </c>
      <c r="P8" s="8">
        <f t="shared" si="11"/>
        <v>0</v>
      </c>
      <c r="Q8" s="13">
        <f>O8*0.3</f>
        <v>0</v>
      </c>
      <c r="R8" s="8">
        <f>(1000+1000+500+500+1000+1000)/30*F8</f>
        <v>0</v>
      </c>
      <c r="S8" s="9">
        <f t="shared" si="0"/>
        <v>0</v>
      </c>
      <c r="T8" s="8"/>
      <c r="U8" s="8">
        <f t="shared" si="1"/>
        <v>0</v>
      </c>
      <c r="V8" s="8">
        <f>P8</f>
        <v>0</v>
      </c>
      <c r="W8" s="8">
        <f t="shared" si="12"/>
        <v>0</v>
      </c>
      <c r="X8" s="8">
        <f t="shared" si="7"/>
        <v>0</v>
      </c>
      <c r="Y8" s="8">
        <f t="shared" si="8"/>
        <v>0</v>
      </c>
      <c r="Z8" s="11">
        <f t="shared" si="9"/>
        <v>0</v>
      </c>
      <c r="AA8" s="17">
        <v>110</v>
      </c>
      <c r="AB8" s="8"/>
      <c r="AC8" s="8"/>
      <c r="AD8" s="8"/>
      <c r="AE8" s="13">
        <f>(U8-W8-X8-Z8-AB8)</f>
        <v>0</v>
      </c>
      <c r="AF8" s="14"/>
    </row>
    <row r="9" spans="1:34" s="35" customFormat="1" ht="18" x14ac:dyDescent="0.25">
      <c r="A9" s="15">
        <v>7</v>
      </c>
      <c r="B9" s="15">
        <v>7</v>
      </c>
      <c r="C9" s="6" t="s">
        <v>40</v>
      </c>
      <c r="D9" s="6" t="s">
        <v>41</v>
      </c>
      <c r="E9" s="6"/>
      <c r="F9" s="6">
        <v>29</v>
      </c>
      <c r="G9" s="7">
        <f t="shared" si="2"/>
        <v>2</v>
      </c>
      <c r="H9" s="6"/>
      <c r="I9" s="6"/>
      <c r="J9" s="6">
        <v>20300</v>
      </c>
      <c r="K9" s="6">
        <f>12000+1000+1000</f>
        <v>14000</v>
      </c>
      <c r="L9" s="8">
        <f t="shared" si="3"/>
        <v>451.61290322580646</v>
      </c>
      <c r="M9" s="8">
        <f t="shared" si="4"/>
        <v>203.2258064516129</v>
      </c>
      <c r="N9" s="16">
        <f>4000+1500+800</f>
        <v>6300</v>
      </c>
      <c r="O9" s="13">
        <f t="shared" si="5"/>
        <v>13096.774193548388</v>
      </c>
      <c r="P9" s="13">
        <f t="shared" si="11"/>
        <v>9167.7419354838712</v>
      </c>
      <c r="Q9" s="13">
        <f t="shared" ref="Q9:Q41" si="13">O9*0.3</f>
        <v>3929.0322580645161</v>
      </c>
      <c r="R9" s="13">
        <f>(1000+1000+1000+1000+1500+800)/31*F9</f>
        <v>5893.5483870967737</v>
      </c>
      <c r="S9" s="16">
        <f t="shared" si="0"/>
        <v>0</v>
      </c>
      <c r="T9" s="13"/>
      <c r="U9" s="13">
        <f t="shared" si="1"/>
        <v>18990.322580645159</v>
      </c>
      <c r="V9" s="13">
        <f>P9</f>
        <v>9167.7419354838712</v>
      </c>
      <c r="W9" s="13">
        <f t="shared" si="12"/>
        <v>1100</v>
      </c>
      <c r="X9" s="13">
        <f>IF(J9&lt;=21000,ROUNDUP(O9*0.75%,0),0)</f>
        <v>99</v>
      </c>
      <c r="Y9" s="13">
        <f t="shared" si="8"/>
        <v>17791.322580645159</v>
      </c>
      <c r="Z9" s="11">
        <f t="shared" si="9"/>
        <v>130</v>
      </c>
      <c r="AA9" s="17">
        <v>130</v>
      </c>
      <c r="AB9" s="13"/>
      <c r="AC9" s="13"/>
      <c r="AD9" s="13"/>
      <c r="AE9" s="13">
        <f>U9-W9-X9-Z9-AB9</f>
        <v>17661.322580645159</v>
      </c>
      <c r="AF9" s="14"/>
    </row>
    <row r="10" spans="1:34" ht="18" x14ac:dyDescent="0.25">
      <c r="A10" s="15">
        <v>8</v>
      </c>
      <c r="B10" s="15">
        <v>8</v>
      </c>
      <c r="C10" s="6" t="s">
        <v>42</v>
      </c>
      <c r="D10" s="6" t="s">
        <v>31</v>
      </c>
      <c r="E10" s="6"/>
      <c r="F10" s="7">
        <v>28</v>
      </c>
      <c r="G10" s="7">
        <f t="shared" si="2"/>
        <v>3</v>
      </c>
      <c r="H10" s="6"/>
      <c r="I10" s="6"/>
      <c r="J10" s="6">
        <f>30000+2000</f>
        <v>32000</v>
      </c>
      <c r="K10" s="6">
        <v>28000</v>
      </c>
      <c r="L10" s="8">
        <f t="shared" si="3"/>
        <v>903.22580645161293</v>
      </c>
      <c r="M10" s="8">
        <f t="shared" si="4"/>
        <v>129.03225806451613</v>
      </c>
      <c r="N10" s="16">
        <f>2000+2000</f>
        <v>4000</v>
      </c>
      <c r="O10" s="13">
        <f t="shared" si="5"/>
        <v>25290.322580645163</v>
      </c>
      <c r="P10" s="13">
        <f>O10*1</f>
        <v>25290.322580645163</v>
      </c>
      <c r="Q10" s="13">
        <f>O10*0</f>
        <v>0</v>
      </c>
      <c r="R10" s="8">
        <f>(2000+2000)/31*F10</f>
        <v>3612.9032258064517</v>
      </c>
      <c r="S10" s="16">
        <f t="shared" si="0"/>
        <v>0</v>
      </c>
      <c r="T10" s="13"/>
      <c r="U10" s="8">
        <f t="shared" si="1"/>
        <v>28903.225806451614</v>
      </c>
      <c r="V10" s="13">
        <v>0</v>
      </c>
      <c r="W10" s="13">
        <f t="shared" si="12"/>
        <v>0</v>
      </c>
      <c r="X10" s="8">
        <f t="shared" si="7"/>
        <v>0</v>
      </c>
      <c r="Y10" s="8">
        <f t="shared" si="8"/>
        <v>28903.225806451614</v>
      </c>
      <c r="Z10" s="11">
        <f t="shared" si="9"/>
        <v>150</v>
      </c>
      <c r="AA10" s="17">
        <v>150</v>
      </c>
      <c r="AB10" s="13"/>
      <c r="AC10" s="13"/>
      <c r="AD10" s="13"/>
      <c r="AE10" s="13">
        <f>U10-W10-X10-Z10-AB10-AC10</f>
        <v>28753.225806451614</v>
      </c>
      <c r="AF10" s="14"/>
    </row>
    <row r="11" spans="1:34" ht="18" x14ac:dyDescent="0.25">
      <c r="A11" s="15">
        <v>9</v>
      </c>
      <c r="B11" s="15">
        <v>9</v>
      </c>
      <c r="C11" s="6" t="s">
        <v>43</v>
      </c>
      <c r="D11" s="6" t="s">
        <v>33</v>
      </c>
      <c r="E11" s="6"/>
      <c r="F11" s="7">
        <v>27</v>
      </c>
      <c r="G11" s="7">
        <f t="shared" si="2"/>
        <v>4</v>
      </c>
      <c r="H11" s="6"/>
      <c r="I11" s="6"/>
      <c r="J11" s="6">
        <v>15000</v>
      </c>
      <c r="K11" s="6">
        <v>11000</v>
      </c>
      <c r="L11" s="8">
        <f t="shared" si="3"/>
        <v>354.83870967741933</v>
      </c>
      <c r="M11" s="8">
        <f t="shared" si="4"/>
        <v>129.03225806451613</v>
      </c>
      <c r="N11" s="16">
        <f>3000+1000</f>
        <v>4000</v>
      </c>
      <c r="O11" s="13">
        <f>L11*F11</f>
        <v>9580.645161290322</v>
      </c>
      <c r="P11" s="13">
        <f t="shared" ref="P11:P12" si="14">O11*0.7</f>
        <v>6706.4516129032254</v>
      </c>
      <c r="Q11" s="13">
        <f t="shared" ref="Q11:Q12" si="15">O11*0.3</f>
        <v>2874.1935483870966</v>
      </c>
      <c r="R11" s="8">
        <f>(3000+1000)/31*F11</f>
        <v>3483.8709677419356</v>
      </c>
      <c r="S11" s="16">
        <f t="shared" si="0"/>
        <v>0</v>
      </c>
      <c r="T11" s="13"/>
      <c r="U11" s="8">
        <f t="shared" si="1"/>
        <v>13064.516129032258</v>
      </c>
      <c r="V11" s="13">
        <f t="shared" ref="V11:V40" si="16">P11</f>
        <v>6706.4516129032254</v>
      </c>
      <c r="W11" s="13">
        <f t="shared" si="12"/>
        <v>805</v>
      </c>
      <c r="X11" s="8">
        <f t="shared" si="7"/>
        <v>72</v>
      </c>
      <c r="Y11" s="8">
        <f t="shared" si="8"/>
        <v>12187.516129032258</v>
      </c>
      <c r="Z11" s="11">
        <f t="shared" si="9"/>
        <v>110</v>
      </c>
      <c r="AA11" s="17">
        <v>130</v>
      </c>
      <c r="AB11" s="13"/>
      <c r="AC11" s="13"/>
      <c r="AD11" s="13"/>
      <c r="AE11" s="13">
        <f t="shared" ref="AE11:AE18" si="17">U11-W11-X11-Z11-AB11</f>
        <v>12077.516129032258</v>
      </c>
      <c r="AF11" s="14"/>
    </row>
    <row r="12" spans="1:34" ht="18" x14ac:dyDescent="0.25">
      <c r="A12" s="15">
        <v>9</v>
      </c>
      <c r="B12" s="15">
        <v>10</v>
      </c>
      <c r="C12" s="6" t="s">
        <v>44</v>
      </c>
      <c r="D12" s="6" t="s">
        <v>31</v>
      </c>
      <c r="E12" s="6"/>
      <c r="F12" s="7">
        <v>7</v>
      </c>
      <c r="G12" s="7">
        <f t="shared" si="2"/>
        <v>24</v>
      </c>
      <c r="H12" s="6"/>
      <c r="I12" s="6"/>
      <c r="J12" s="6">
        <v>22500</v>
      </c>
      <c r="K12" s="6">
        <v>16700</v>
      </c>
      <c r="L12" s="8">
        <f t="shared" si="3"/>
        <v>538.70967741935488</v>
      </c>
      <c r="M12" s="8">
        <f t="shared" si="4"/>
        <v>187.09677419354838</v>
      </c>
      <c r="N12" s="16">
        <f>3300+1000+1500</f>
        <v>5800</v>
      </c>
      <c r="O12" s="13">
        <f>L12*F12</f>
        <v>3770.9677419354839</v>
      </c>
      <c r="P12" s="13">
        <f t="shared" si="14"/>
        <v>2639.6774193548385</v>
      </c>
      <c r="Q12" s="13">
        <f t="shared" si="15"/>
        <v>1131.2903225806451</v>
      </c>
      <c r="R12" s="8">
        <f>(3300+1000+1500)/31*F12</f>
        <v>1309.6774193548388</v>
      </c>
      <c r="S12" s="16">
        <f t="shared" si="0"/>
        <v>0</v>
      </c>
      <c r="T12" s="13"/>
      <c r="U12" s="8">
        <f>P12+Q12+S12+R12+T12</f>
        <v>5080.6451612903229</v>
      </c>
      <c r="V12" s="13">
        <f t="shared" si="16"/>
        <v>2639.6774193548385</v>
      </c>
      <c r="W12" s="13">
        <f>ROUND(IF(V12&lt;=15000,V12*12%,IF(V12&gt;15000,0)),0)</f>
        <v>317</v>
      </c>
      <c r="X12" s="8">
        <f t="shared" si="7"/>
        <v>0</v>
      </c>
      <c r="Y12" s="8">
        <f t="shared" si="8"/>
        <v>4763.6451612903229</v>
      </c>
      <c r="Z12" s="11">
        <f t="shared" si="9"/>
        <v>0</v>
      </c>
      <c r="AA12" s="17">
        <v>130</v>
      </c>
      <c r="AB12" s="13"/>
      <c r="AC12" s="13"/>
      <c r="AD12" s="13"/>
      <c r="AE12" s="13">
        <f t="shared" si="17"/>
        <v>4763.6451612903229</v>
      </c>
      <c r="AF12" s="14"/>
    </row>
    <row r="13" spans="1:34" s="42" customFormat="1" ht="18" x14ac:dyDescent="0.25">
      <c r="A13" s="19">
        <v>10</v>
      </c>
      <c r="B13" s="19">
        <v>11</v>
      </c>
      <c r="C13" s="20" t="s">
        <v>45</v>
      </c>
      <c r="D13" s="20" t="s">
        <v>46</v>
      </c>
      <c r="E13" s="20"/>
      <c r="F13" s="20">
        <v>31</v>
      </c>
      <c r="G13" s="20">
        <f t="shared" si="2"/>
        <v>0</v>
      </c>
      <c r="H13" s="20"/>
      <c r="I13" s="20"/>
      <c r="J13" s="20">
        <v>19000</v>
      </c>
      <c r="K13" s="20">
        <f>13500+1200+1000</f>
        <v>15700</v>
      </c>
      <c r="L13" s="21">
        <f t="shared" si="3"/>
        <v>506.45161290322579</v>
      </c>
      <c r="M13" s="21">
        <f t="shared" si="4"/>
        <v>106.45161290322581</v>
      </c>
      <c r="N13" s="22">
        <f>1000+1300+1000</f>
        <v>3300</v>
      </c>
      <c r="O13" s="21">
        <f>L13*F13</f>
        <v>15700</v>
      </c>
      <c r="P13" s="21">
        <f t="shared" si="11"/>
        <v>10990</v>
      </c>
      <c r="Q13" s="21">
        <f t="shared" si="13"/>
        <v>4710</v>
      </c>
      <c r="R13" s="21">
        <f>(1000+1300+1000)/31*F13</f>
        <v>3300</v>
      </c>
      <c r="S13" s="22">
        <f t="shared" si="0"/>
        <v>0</v>
      </c>
      <c r="T13" s="21"/>
      <c r="U13" s="21">
        <f t="shared" si="1"/>
        <v>19000</v>
      </c>
      <c r="V13" s="21">
        <f t="shared" si="16"/>
        <v>10990</v>
      </c>
      <c r="W13" s="21">
        <f t="shared" si="12"/>
        <v>1319</v>
      </c>
      <c r="X13" s="21">
        <f t="shared" si="7"/>
        <v>118</v>
      </c>
      <c r="Y13" s="21">
        <f t="shared" si="8"/>
        <v>17563</v>
      </c>
      <c r="Z13" s="23">
        <f t="shared" si="9"/>
        <v>130</v>
      </c>
      <c r="AA13" s="24">
        <v>130</v>
      </c>
      <c r="AB13" s="21">
        <v>1500</v>
      </c>
      <c r="AC13" s="21"/>
      <c r="AD13" s="21"/>
      <c r="AE13" s="21">
        <f t="shared" si="17"/>
        <v>15933</v>
      </c>
      <c r="AF13" s="70">
        <f>AE13-700</f>
        <v>15233</v>
      </c>
    </row>
    <row r="14" spans="1:34" s="42" customFormat="1" ht="18" x14ac:dyDescent="0.25">
      <c r="A14" s="19">
        <v>11</v>
      </c>
      <c r="B14" s="19">
        <v>12</v>
      </c>
      <c r="C14" s="20" t="s">
        <v>47</v>
      </c>
      <c r="D14" s="20"/>
      <c r="E14" s="20"/>
      <c r="F14" s="20">
        <v>30</v>
      </c>
      <c r="G14" s="20">
        <f t="shared" si="2"/>
        <v>1</v>
      </c>
      <c r="H14" s="20"/>
      <c r="I14" s="20"/>
      <c r="J14" s="20">
        <v>7000</v>
      </c>
      <c r="K14" s="20">
        <f>5500+500</f>
        <v>6000</v>
      </c>
      <c r="L14" s="21">
        <f t="shared" si="3"/>
        <v>193.54838709677421</v>
      </c>
      <c r="M14" s="21">
        <f t="shared" si="4"/>
        <v>32.258064516129032</v>
      </c>
      <c r="N14" s="22">
        <f>500+500</f>
        <v>1000</v>
      </c>
      <c r="O14" s="21">
        <f>L14*F14</f>
        <v>5806.4516129032263</v>
      </c>
      <c r="P14" s="21">
        <f t="shared" si="11"/>
        <v>4064.516129032258</v>
      </c>
      <c r="Q14" s="21">
        <f t="shared" si="13"/>
        <v>1741.9354838709678</v>
      </c>
      <c r="R14" s="21">
        <f>(500+500)/31*F14</f>
        <v>967.74193548387098</v>
      </c>
      <c r="S14" s="22">
        <f t="shared" si="0"/>
        <v>0</v>
      </c>
      <c r="T14" s="21"/>
      <c r="U14" s="21">
        <f t="shared" si="1"/>
        <v>6774.1935483870966</v>
      </c>
      <c r="V14" s="21">
        <f t="shared" si="16"/>
        <v>4064.516129032258</v>
      </c>
      <c r="W14" s="21">
        <f t="shared" si="12"/>
        <v>488</v>
      </c>
      <c r="X14" s="21">
        <f t="shared" si="7"/>
        <v>44</v>
      </c>
      <c r="Y14" s="21">
        <f t="shared" si="8"/>
        <v>6242.1935483870966</v>
      </c>
      <c r="Z14" s="23">
        <f t="shared" si="9"/>
        <v>0</v>
      </c>
      <c r="AA14" s="24">
        <f t="shared" si="10"/>
        <v>0</v>
      </c>
      <c r="AB14" s="21">
        <v>500</v>
      </c>
      <c r="AC14" s="21"/>
      <c r="AD14" s="21"/>
      <c r="AE14" s="21">
        <f t="shared" si="17"/>
        <v>5742.1935483870966</v>
      </c>
      <c r="AF14" s="71"/>
    </row>
    <row r="15" spans="1:34" ht="18.75" x14ac:dyDescent="0.3">
      <c r="A15" s="15">
        <v>12</v>
      </c>
      <c r="B15" s="15">
        <v>13</v>
      </c>
      <c r="C15" s="6" t="s">
        <v>48</v>
      </c>
      <c r="D15" s="6"/>
      <c r="E15" s="6"/>
      <c r="F15" s="7">
        <v>27</v>
      </c>
      <c r="G15" s="7">
        <f t="shared" si="2"/>
        <v>4</v>
      </c>
      <c r="H15" s="6"/>
      <c r="I15" s="27" t="s">
        <v>49</v>
      </c>
      <c r="J15" s="27"/>
      <c r="K15" s="6"/>
      <c r="L15" s="13">
        <v>320</v>
      </c>
      <c r="M15" s="16">
        <f>20+15</f>
        <v>35</v>
      </c>
      <c r="N15" s="16"/>
      <c r="O15" s="13">
        <f t="shared" ref="O15:O21" si="18">L15*F15</f>
        <v>8640</v>
      </c>
      <c r="P15" s="13">
        <f t="shared" si="11"/>
        <v>6048</v>
      </c>
      <c r="Q15" s="13">
        <f t="shared" si="13"/>
        <v>2592</v>
      </c>
      <c r="R15" s="13">
        <f>M15*F15</f>
        <v>945</v>
      </c>
      <c r="S15" s="13">
        <f>H15*(L15+M15)+420</f>
        <v>420</v>
      </c>
      <c r="T15" s="13"/>
      <c r="U15" s="8">
        <f t="shared" si="1"/>
        <v>10005</v>
      </c>
      <c r="V15" s="13">
        <f t="shared" si="16"/>
        <v>6048</v>
      </c>
      <c r="W15" s="13">
        <f t="shared" si="12"/>
        <v>726</v>
      </c>
      <c r="X15" s="8">
        <f t="shared" si="7"/>
        <v>65</v>
      </c>
      <c r="Y15" s="8">
        <f t="shared" si="8"/>
        <v>9214</v>
      </c>
      <c r="Z15" s="11">
        <f t="shared" si="9"/>
        <v>110</v>
      </c>
      <c r="AA15" s="17"/>
      <c r="AB15" s="13"/>
      <c r="AC15" s="13"/>
      <c r="AD15" s="13"/>
      <c r="AE15" s="13">
        <f>U15-W15-X15-Z15-AB15-AC15</f>
        <v>9104</v>
      </c>
      <c r="AF15" s="14"/>
      <c r="AG15" s="72"/>
      <c r="AH15" s="73"/>
    </row>
    <row r="16" spans="1:34" ht="18.75" x14ac:dyDescent="0.3">
      <c r="A16" s="28">
        <v>13</v>
      </c>
      <c r="B16" s="28">
        <v>14</v>
      </c>
      <c r="C16" s="29" t="s">
        <v>50</v>
      </c>
      <c r="D16" s="29" t="s">
        <v>51</v>
      </c>
      <c r="E16" s="29"/>
      <c r="F16" s="7">
        <v>27</v>
      </c>
      <c r="G16" s="7">
        <f t="shared" si="2"/>
        <v>4</v>
      </c>
      <c r="H16" s="29"/>
      <c r="I16" s="29"/>
      <c r="J16" s="29">
        <v>6800</v>
      </c>
      <c r="K16" s="29">
        <f>6500</f>
        <v>6500</v>
      </c>
      <c r="L16" s="30">
        <f>K16/31</f>
        <v>209.67741935483872</v>
      </c>
      <c r="M16" s="30">
        <f>N16/31</f>
        <v>9.67741935483871</v>
      </c>
      <c r="N16" s="31">
        <v>300</v>
      </c>
      <c r="O16" s="30">
        <f t="shared" si="18"/>
        <v>5661.2903225806458</v>
      </c>
      <c r="P16" s="30">
        <f t="shared" si="11"/>
        <v>3962.9032258064517</v>
      </c>
      <c r="Q16" s="30">
        <f t="shared" si="13"/>
        <v>1698.3870967741937</v>
      </c>
      <c r="R16" s="30">
        <f>300/31*F16</f>
        <v>261.29032258064518</v>
      </c>
      <c r="S16" s="31">
        <f t="shared" si="0"/>
        <v>0</v>
      </c>
      <c r="T16" s="30"/>
      <c r="U16" s="8">
        <f t="shared" si="1"/>
        <v>5922.5806451612907</v>
      </c>
      <c r="V16" s="30">
        <f t="shared" si="16"/>
        <v>3962.9032258064517</v>
      </c>
      <c r="W16" s="30">
        <f t="shared" si="12"/>
        <v>476</v>
      </c>
      <c r="X16" s="8">
        <f t="shared" si="7"/>
        <v>43</v>
      </c>
      <c r="Y16" s="8">
        <f t="shared" si="8"/>
        <v>5403.5806451612907</v>
      </c>
      <c r="Z16" s="11">
        <f t="shared" si="9"/>
        <v>0</v>
      </c>
      <c r="AA16" s="32">
        <f t="shared" si="10"/>
        <v>0</v>
      </c>
      <c r="AB16" s="30"/>
      <c r="AC16" s="30"/>
      <c r="AD16" s="30"/>
      <c r="AE16" s="30">
        <f t="shared" si="17"/>
        <v>5403.5806451612907</v>
      </c>
      <c r="AF16" s="14"/>
      <c r="AG16" s="72"/>
      <c r="AH16" s="73"/>
    </row>
    <row r="17" spans="1:34" ht="18.75" x14ac:dyDescent="0.3">
      <c r="A17" s="15">
        <v>14</v>
      </c>
      <c r="B17" s="15">
        <v>15</v>
      </c>
      <c r="C17" s="6" t="s">
        <v>52</v>
      </c>
      <c r="D17" s="6" t="s">
        <v>51</v>
      </c>
      <c r="E17" s="6"/>
      <c r="F17" s="7">
        <v>29</v>
      </c>
      <c r="G17" s="7">
        <f t="shared" si="2"/>
        <v>2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8"/>
        <v>9280</v>
      </c>
      <c r="P17" s="13">
        <f t="shared" si="11"/>
        <v>6496</v>
      </c>
      <c r="Q17" s="13">
        <f t="shared" si="13"/>
        <v>2784</v>
      </c>
      <c r="R17" s="13">
        <f>15*F17</f>
        <v>435</v>
      </c>
      <c r="S17" s="13">
        <f t="shared" ref="S17:S53" si="19">H17*(L17+M17)</f>
        <v>0</v>
      </c>
      <c r="T17" s="13"/>
      <c r="U17" s="8">
        <f t="shared" si="1"/>
        <v>9715</v>
      </c>
      <c r="V17" s="13">
        <f t="shared" si="16"/>
        <v>6496</v>
      </c>
      <c r="W17" s="13">
        <f t="shared" si="12"/>
        <v>780</v>
      </c>
      <c r="X17" s="8">
        <f t="shared" si="7"/>
        <v>70</v>
      </c>
      <c r="Y17" s="8">
        <f t="shared" si="8"/>
        <v>8865</v>
      </c>
      <c r="Z17" s="11">
        <f t="shared" si="9"/>
        <v>0</v>
      </c>
      <c r="AA17" s="17" t="s">
        <v>54</v>
      </c>
      <c r="AB17" s="13"/>
      <c r="AC17" s="13"/>
      <c r="AD17" s="13"/>
      <c r="AE17" s="13">
        <f t="shared" si="17"/>
        <v>8865</v>
      </c>
      <c r="AF17" s="14"/>
      <c r="AG17" s="72"/>
      <c r="AH17" s="73"/>
    </row>
    <row r="18" spans="1:34" ht="18.75" x14ac:dyDescent="0.3">
      <c r="A18" s="15">
        <v>15</v>
      </c>
      <c r="B18" s="15">
        <v>16</v>
      </c>
      <c r="C18" s="6" t="s">
        <v>55</v>
      </c>
      <c r="D18" s="6" t="s">
        <v>51</v>
      </c>
      <c r="E18" s="6"/>
      <c r="F18" s="7">
        <v>18</v>
      </c>
      <c r="G18" s="7">
        <f t="shared" si="2"/>
        <v>13</v>
      </c>
      <c r="H18" s="6"/>
      <c r="I18" s="27" t="s">
        <v>53</v>
      </c>
      <c r="J18" s="27"/>
      <c r="K18" s="6"/>
      <c r="L18" s="13">
        <v>320</v>
      </c>
      <c r="M18" s="16">
        <v>15</v>
      </c>
      <c r="N18" s="16"/>
      <c r="O18" s="13">
        <f t="shared" si="18"/>
        <v>5760</v>
      </c>
      <c r="P18" s="13">
        <f t="shared" si="11"/>
        <v>4031.9999999999995</v>
      </c>
      <c r="Q18" s="13">
        <f t="shared" si="13"/>
        <v>1728</v>
      </c>
      <c r="R18" s="13">
        <f>15*F18</f>
        <v>270</v>
      </c>
      <c r="S18" s="13">
        <f t="shared" si="19"/>
        <v>0</v>
      </c>
      <c r="T18" s="13"/>
      <c r="U18" s="8">
        <f t="shared" si="1"/>
        <v>6030</v>
      </c>
      <c r="V18" s="13">
        <f t="shared" si="16"/>
        <v>4031.9999999999995</v>
      </c>
      <c r="W18" s="13">
        <f t="shared" si="12"/>
        <v>484</v>
      </c>
      <c r="X18" s="8">
        <f t="shared" si="7"/>
        <v>44</v>
      </c>
      <c r="Y18" s="8">
        <f t="shared" si="8"/>
        <v>5502</v>
      </c>
      <c r="Z18" s="11">
        <f t="shared" si="9"/>
        <v>0</v>
      </c>
      <c r="AA18" s="17" t="s">
        <v>54</v>
      </c>
      <c r="AB18" s="13"/>
      <c r="AC18" s="13"/>
      <c r="AD18" s="13"/>
      <c r="AE18" s="13">
        <f t="shared" si="17"/>
        <v>5502</v>
      </c>
      <c r="AF18" s="14"/>
      <c r="AG18" s="72"/>
      <c r="AH18" s="73"/>
    </row>
    <row r="19" spans="1:34" ht="18.75" x14ac:dyDescent="0.3">
      <c r="A19" s="15">
        <v>19</v>
      </c>
      <c r="B19" s="15">
        <v>17</v>
      </c>
      <c r="C19" s="6" t="s">
        <v>56</v>
      </c>
      <c r="D19" s="6"/>
      <c r="E19" s="6"/>
      <c r="F19" s="7">
        <v>4</v>
      </c>
      <c r="G19" s="7">
        <f t="shared" si="2"/>
        <v>27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8"/>
        <v>1280</v>
      </c>
      <c r="P19" s="13">
        <f t="shared" si="11"/>
        <v>896</v>
      </c>
      <c r="Q19" s="13">
        <f t="shared" si="13"/>
        <v>384</v>
      </c>
      <c r="R19" s="13">
        <f>15*F19</f>
        <v>60</v>
      </c>
      <c r="S19" s="13">
        <f t="shared" si="19"/>
        <v>0</v>
      </c>
      <c r="T19" s="13"/>
      <c r="U19" s="8">
        <f t="shared" si="1"/>
        <v>1340</v>
      </c>
      <c r="V19" s="13">
        <f t="shared" si="16"/>
        <v>896</v>
      </c>
      <c r="W19" s="13">
        <f t="shared" si="12"/>
        <v>108</v>
      </c>
      <c r="X19" s="8">
        <f t="shared" si="7"/>
        <v>10</v>
      </c>
      <c r="Y19" s="8">
        <f t="shared" si="8"/>
        <v>1222</v>
      </c>
      <c r="Z19" s="11">
        <f t="shared" si="9"/>
        <v>0</v>
      </c>
      <c r="AA19" s="17">
        <v>0</v>
      </c>
      <c r="AB19" s="13"/>
      <c r="AC19" s="13"/>
      <c r="AD19" s="13"/>
      <c r="AE19" s="30">
        <f>U19-W19-X19-Z19-AB19-AC19</f>
        <v>1222</v>
      </c>
      <c r="AF19" s="14"/>
      <c r="AG19" s="72"/>
      <c r="AH19" s="73"/>
    </row>
    <row r="20" spans="1:34" ht="18.75" x14ac:dyDescent="0.3">
      <c r="A20" s="15">
        <v>20</v>
      </c>
      <c r="B20" s="15">
        <v>18</v>
      </c>
      <c r="C20" s="6" t="s">
        <v>57</v>
      </c>
      <c r="D20" s="6"/>
      <c r="E20" s="6"/>
      <c r="F20" s="7">
        <v>15</v>
      </c>
      <c r="G20" s="7">
        <f t="shared" si="2"/>
        <v>16</v>
      </c>
      <c r="H20" s="6"/>
      <c r="I20" s="27" t="s">
        <v>58</v>
      </c>
      <c r="J20" s="27"/>
      <c r="K20" s="6"/>
      <c r="L20" s="13">
        <v>320</v>
      </c>
      <c r="M20" s="16">
        <v>65</v>
      </c>
      <c r="N20" s="16"/>
      <c r="O20" s="13">
        <f t="shared" si="18"/>
        <v>4800</v>
      </c>
      <c r="P20" s="13">
        <f t="shared" si="11"/>
        <v>3360</v>
      </c>
      <c r="Q20" s="13">
        <f t="shared" si="13"/>
        <v>1440</v>
      </c>
      <c r="R20" s="13">
        <f>65*F20</f>
        <v>975</v>
      </c>
      <c r="S20" s="13">
        <f t="shared" si="19"/>
        <v>0</v>
      </c>
      <c r="T20" s="13"/>
      <c r="U20" s="8">
        <f t="shared" si="1"/>
        <v>5775</v>
      </c>
      <c r="V20" s="13">
        <f t="shared" si="16"/>
        <v>3360</v>
      </c>
      <c r="W20" s="13">
        <f t="shared" si="12"/>
        <v>403</v>
      </c>
      <c r="X20" s="8">
        <f t="shared" si="7"/>
        <v>36</v>
      </c>
      <c r="Y20" s="8">
        <f t="shared" si="8"/>
        <v>5336</v>
      </c>
      <c r="Z20" s="11">
        <f t="shared" si="9"/>
        <v>0</v>
      </c>
      <c r="AA20" s="17">
        <f>Z20</f>
        <v>0</v>
      </c>
      <c r="AB20" s="13"/>
      <c r="AC20" s="13"/>
      <c r="AD20" s="13"/>
      <c r="AE20" s="13">
        <f>U20-W20-X20-Z20-AB20</f>
        <v>5336</v>
      </c>
      <c r="AF20" s="14"/>
      <c r="AG20" s="72"/>
      <c r="AH20" s="73"/>
    </row>
    <row r="21" spans="1:34" ht="18.75" x14ac:dyDescent="0.3">
      <c r="A21" s="15">
        <v>21</v>
      </c>
      <c r="B21" s="15">
        <v>19</v>
      </c>
      <c r="C21" s="33" t="s">
        <v>59</v>
      </c>
      <c r="D21" s="6"/>
      <c r="E21" s="6"/>
      <c r="F21" s="7">
        <v>27</v>
      </c>
      <c r="G21" s="7">
        <f t="shared" si="2"/>
        <v>4</v>
      </c>
      <c r="H21" s="6"/>
      <c r="I21" s="27" t="s">
        <v>53</v>
      </c>
      <c r="J21" s="27"/>
      <c r="K21" s="6"/>
      <c r="L21" s="13">
        <v>320</v>
      </c>
      <c r="M21" s="16">
        <v>15</v>
      </c>
      <c r="N21" s="16"/>
      <c r="O21" s="13">
        <f t="shared" si="18"/>
        <v>8640</v>
      </c>
      <c r="P21" s="13">
        <f t="shared" si="11"/>
        <v>6048</v>
      </c>
      <c r="Q21" s="13">
        <f t="shared" si="13"/>
        <v>2592</v>
      </c>
      <c r="R21" s="13">
        <f>15*F21</f>
        <v>405</v>
      </c>
      <c r="S21" s="13">
        <f t="shared" si="19"/>
        <v>0</v>
      </c>
      <c r="T21" s="13"/>
      <c r="U21" s="8">
        <f t="shared" si="1"/>
        <v>9045</v>
      </c>
      <c r="V21" s="13">
        <f t="shared" si="16"/>
        <v>6048</v>
      </c>
      <c r="W21" s="13">
        <f t="shared" si="12"/>
        <v>726</v>
      </c>
      <c r="X21" s="8">
        <f t="shared" si="7"/>
        <v>65</v>
      </c>
      <c r="Y21" s="8">
        <f t="shared" si="8"/>
        <v>8254</v>
      </c>
      <c r="Z21" s="11">
        <f t="shared" si="9"/>
        <v>0</v>
      </c>
      <c r="AA21" s="17"/>
      <c r="AB21" s="13"/>
      <c r="AC21" s="13"/>
      <c r="AD21" s="13"/>
      <c r="AE21" s="13">
        <f>U21-W21-X21-Z21-AB21-AC21</f>
        <v>8254</v>
      </c>
      <c r="AF21" s="14"/>
      <c r="AG21" s="72"/>
      <c r="AH21" s="73"/>
    </row>
    <row r="22" spans="1:34" s="35" customFormat="1" ht="18.75" x14ac:dyDescent="0.3">
      <c r="A22" s="28">
        <v>22</v>
      </c>
      <c r="B22" s="28">
        <v>20</v>
      </c>
      <c r="C22" s="29" t="s">
        <v>60</v>
      </c>
      <c r="D22" s="29" t="s">
        <v>51</v>
      </c>
      <c r="E22" s="29"/>
      <c r="F22" s="6">
        <v>31</v>
      </c>
      <c r="G22" s="6">
        <f t="shared" si="2"/>
        <v>0</v>
      </c>
      <c r="H22" s="29">
        <v>1</v>
      </c>
      <c r="I22" s="34" t="s">
        <v>49</v>
      </c>
      <c r="J22" s="34"/>
      <c r="K22" s="29"/>
      <c r="L22" s="30">
        <v>220</v>
      </c>
      <c r="M22" s="31">
        <v>10</v>
      </c>
      <c r="N22" s="31"/>
      <c r="O22" s="30">
        <f>L22*F22</f>
        <v>6820</v>
      </c>
      <c r="P22" s="30">
        <f t="shared" si="11"/>
        <v>4774</v>
      </c>
      <c r="Q22" s="30">
        <f t="shared" si="13"/>
        <v>2046</v>
      </c>
      <c r="R22" s="30">
        <f>10*F22</f>
        <v>310</v>
      </c>
      <c r="S22" s="30">
        <f t="shared" si="19"/>
        <v>230</v>
      </c>
      <c r="T22" s="30"/>
      <c r="U22" s="13">
        <f t="shared" si="1"/>
        <v>7360</v>
      </c>
      <c r="V22" s="30">
        <f t="shared" si="16"/>
        <v>4774</v>
      </c>
      <c r="W22" s="30">
        <f t="shared" si="12"/>
        <v>573</v>
      </c>
      <c r="X22" s="13">
        <f t="shared" si="7"/>
        <v>52</v>
      </c>
      <c r="Y22" s="13">
        <f t="shared" si="8"/>
        <v>6735</v>
      </c>
      <c r="Z22" s="11">
        <f t="shared" si="9"/>
        <v>0</v>
      </c>
      <c r="AA22" s="32"/>
      <c r="AB22" s="30"/>
      <c r="AC22" s="30"/>
      <c r="AD22" s="30"/>
      <c r="AE22" s="30">
        <f t="shared" ref="AE22:AE42" si="20">U22-W22-X22-Z22-AB22</f>
        <v>6735</v>
      </c>
      <c r="AF22" s="14"/>
      <c r="AG22" s="77"/>
      <c r="AH22" s="74"/>
    </row>
    <row r="23" spans="1:34" s="35" customFormat="1" ht="18.75" x14ac:dyDescent="0.3">
      <c r="A23" s="15">
        <v>23</v>
      </c>
      <c r="B23" s="15">
        <v>21</v>
      </c>
      <c r="C23" s="36" t="s">
        <v>61</v>
      </c>
      <c r="D23" s="6" t="s">
        <v>51</v>
      </c>
      <c r="E23" s="6"/>
      <c r="F23" s="6">
        <v>31</v>
      </c>
      <c r="G23" s="6">
        <f t="shared" si="2"/>
        <v>0</v>
      </c>
      <c r="H23" s="6">
        <v>2</v>
      </c>
      <c r="I23" s="27" t="s">
        <v>58</v>
      </c>
      <c r="J23" s="27"/>
      <c r="K23" s="6"/>
      <c r="L23" s="13">
        <v>220</v>
      </c>
      <c r="M23" s="16">
        <v>10</v>
      </c>
      <c r="N23" s="16"/>
      <c r="O23" s="13">
        <f t="shared" si="5"/>
        <v>6820</v>
      </c>
      <c r="P23" s="13">
        <f t="shared" si="11"/>
        <v>4774</v>
      </c>
      <c r="Q23" s="13">
        <f t="shared" si="13"/>
        <v>2046</v>
      </c>
      <c r="R23" s="13">
        <f>10*F23</f>
        <v>310</v>
      </c>
      <c r="S23" s="13">
        <f t="shared" si="19"/>
        <v>460</v>
      </c>
      <c r="T23" s="13"/>
      <c r="U23" s="13">
        <f t="shared" si="1"/>
        <v>7590</v>
      </c>
      <c r="V23" s="13">
        <f t="shared" si="16"/>
        <v>4774</v>
      </c>
      <c r="W23" s="13">
        <f t="shared" si="12"/>
        <v>573</v>
      </c>
      <c r="X23" s="13">
        <f t="shared" si="7"/>
        <v>52</v>
      </c>
      <c r="Y23" s="13">
        <f t="shared" si="8"/>
        <v>6965</v>
      </c>
      <c r="Z23" s="11">
        <f t="shared" si="9"/>
        <v>0</v>
      </c>
      <c r="AA23" s="17">
        <v>110</v>
      </c>
      <c r="AB23" s="13"/>
      <c r="AC23" s="13"/>
      <c r="AD23" s="13"/>
      <c r="AE23" s="13">
        <f t="shared" si="20"/>
        <v>6965</v>
      </c>
      <c r="AF23" s="14"/>
      <c r="AG23" s="77"/>
      <c r="AH23" s="74"/>
    </row>
    <row r="24" spans="1:34" s="35" customFormat="1" ht="18.75" x14ac:dyDescent="0.3">
      <c r="A24" s="15">
        <v>24</v>
      </c>
      <c r="B24" s="15">
        <v>22</v>
      </c>
      <c r="C24" s="6" t="s">
        <v>62</v>
      </c>
      <c r="D24" s="6"/>
      <c r="E24" s="6"/>
      <c r="F24" s="6">
        <v>13</v>
      </c>
      <c r="G24" s="6">
        <f t="shared" si="2"/>
        <v>18</v>
      </c>
      <c r="H24" s="6"/>
      <c r="I24" s="27" t="s">
        <v>58</v>
      </c>
      <c r="J24" s="27"/>
      <c r="K24" s="6"/>
      <c r="L24" s="13">
        <v>335</v>
      </c>
      <c r="M24" s="16">
        <f>25+25+15</f>
        <v>65</v>
      </c>
      <c r="N24" s="16"/>
      <c r="O24" s="13">
        <f t="shared" si="5"/>
        <v>4355</v>
      </c>
      <c r="P24" s="13">
        <f t="shared" si="11"/>
        <v>3048.5</v>
      </c>
      <c r="Q24" s="13">
        <f t="shared" si="13"/>
        <v>1306.5</v>
      </c>
      <c r="R24" s="13">
        <f>M24*F24</f>
        <v>845</v>
      </c>
      <c r="S24" s="13">
        <f>H24*(L24+M24)+450</f>
        <v>450</v>
      </c>
      <c r="T24" s="13"/>
      <c r="U24" s="13">
        <f t="shared" si="1"/>
        <v>5650</v>
      </c>
      <c r="V24" s="13">
        <f t="shared" si="16"/>
        <v>3048.5</v>
      </c>
      <c r="W24" s="13">
        <f t="shared" si="12"/>
        <v>366</v>
      </c>
      <c r="X24" s="13">
        <f t="shared" si="7"/>
        <v>33</v>
      </c>
      <c r="Y24" s="13">
        <f t="shared" si="8"/>
        <v>5251</v>
      </c>
      <c r="Z24" s="11">
        <f t="shared" si="9"/>
        <v>0</v>
      </c>
      <c r="AA24" s="17"/>
      <c r="AB24" s="13"/>
      <c r="AC24" s="13"/>
      <c r="AD24" s="13"/>
      <c r="AE24" s="13">
        <f>U24-W24-X24-Z24-AB24-AC24</f>
        <v>5251</v>
      </c>
      <c r="AF24" s="14"/>
      <c r="AG24" s="77"/>
      <c r="AH24" s="74"/>
    </row>
    <row r="25" spans="1:34" ht="18.75" x14ac:dyDescent="0.3">
      <c r="A25" s="15">
        <v>25</v>
      </c>
      <c r="B25" s="15">
        <v>23</v>
      </c>
      <c r="C25" s="6" t="s">
        <v>63</v>
      </c>
      <c r="D25" s="6" t="s">
        <v>51</v>
      </c>
      <c r="E25" s="6"/>
      <c r="F25" s="7">
        <v>16</v>
      </c>
      <c r="G25" s="7">
        <f t="shared" si="2"/>
        <v>15</v>
      </c>
      <c r="H25" s="6"/>
      <c r="I25" s="27" t="s">
        <v>58</v>
      </c>
      <c r="J25" s="27"/>
      <c r="K25" s="6"/>
      <c r="L25" s="13">
        <v>335</v>
      </c>
      <c r="M25" s="16">
        <f>25+25+15</f>
        <v>65</v>
      </c>
      <c r="N25" s="16"/>
      <c r="O25" s="13">
        <f t="shared" si="5"/>
        <v>5360</v>
      </c>
      <c r="P25" s="13">
        <f t="shared" si="11"/>
        <v>3751.9999999999995</v>
      </c>
      <c r="Q25" s="13">
        <f t="shared" si="13"/>
        <v>1608</v>
      </c>
      <c r="R25" s="13">
        <f>M25*F25</f>
        <v>1040</v>
      </c>
      <c r="S25" s="13">
        <f>H25*(L25+M25)+435</f>
        <v>435</v>
      </c>
      <c r="T25" s="13"/>
      <c r="U25" s="8">
        <f t="shared" si="1"/>
        <v>6835</v>
      </c>
      <c r="V25" s="13">
        <f t="shared" si="16"/>
        <v>3751.9999999999995</v>
      </c>
      <c r="W25" s="13">
        <f t="shared" si="12"/>
        <v>450</v>
      </c>
      <c r="X25" s="8">
        <f t="shared" si="7"/>
        <v>41</v>
      </c>
      <c r="Y25" s="8">
        <f t="shared" si="8"/>
        <v>6344</v>
      </c>
      <c r="Z25" s="11">
        <f t="shared" si="9"/>
        <v>0</v>
      </c>
      <c r="AA25" s="17">
        <v>110</v>
      </c>
      <c r="AB25" s="13"/>
      <c r="AC25" s="13"/>
      <c r="AD25" s="13"/>
      <c r="AE25" s="13">
        <f t="shared" si="20"/>
        <v>6344</v>
      </c>
      <c r="AF25" s="14"/>
      <c r="AG25" s="72"/>
      <c r="AH25" s="73"/>
    </row>
    <row r="26" spans="1:34" ht="18.75" x14ac:dyDescent="0.3">
      <c r="A26" s="15">
        <v>26</v>
      </c>
      <c r="B26" s="15">
        <v>24</v>
      </c>
      <c r="C26" s="6" t="s">
        <v>64</v>
      </c>
      <c r="D26" s="6" t="s">
        <v>51</v>
      </c>
      <c r="E26" s="6"/>
      <c r="F26" s="7">
        <v>12</v>
      </c>
      <c r="G26" s="7">
        <f t="shared" si="2"/>
        <v>19</v>
      </c>
      <c r="H26" s="6"/>
      <c r="I26" s="27" t="s">
        <v>65</v>
      </c>
      <c r="J26" s="27"/>
      <c r="K26" s="6"/>
      <c r="L26" s="13">
        <v>335</v>
      </c>
      <c r="M26" s="16">
        <f>25+10+15</f>
        <v>50</v>
      </c>
      <c r="N26" s="16"/>
      <c r="O26" s="13">
        <f>L26*F26</f>
        <v>4020</v>
      </c>
      <c r="P26" s="13">
        <f t="shared" si="11"/>
        <v>2814</v>
      </c>
      <c r="Q26" s="13">
        <f t="shared" si="13"/>
        <v>1206</v>
      </c>
      <c r="R26" s="13">
        <f t="shared" ref="R26:R40" si="21">M26*F26</f>
        <v>600</v>
      </c>
      <c r="S26" s="13">
        <f>H26*(L26+M26)+420</f>
        <v>420</v>
      </c>
      <c r="T26" s="13"/>
      <c r="U26" s="8">
        <f t="shared" si="1"/>
        <v>5040</v>
      </c>
      <c r="V26" s="13">
        <f t="shared" si="16"/>
        <v>2814</v>
      </c>
      <c r="W26" s="13">
        <f t="shared" si="12"/>
        <v>338</v>
      </c>
      <c r="X26" s="8">
        <f t="shared" si="7"/>
        <v>31</v>
      </c>
      <c r="Y26" s="8">
        <f t="shared" si="8"/>
        <v>4671</v>
      </c>
      <c r="Z26" s="11">
        <f t="shared" si="9"/>
        <v>0</v>
      </c>
      <c r="AA26" s="17">
        <f t="shared" si="10"/>
        <v>0</v>
      </c>
      <c r="AB26" s="13"/>
      <c r="AC26" s="13"/>
      <c r="AD26" s="13"/>
      <c r="AE26" s="13">
        <f t="shared" si="20"/>
        <v>4671</v>
      </c>
      <c r="AF26" s="26"/>
      <c r="AG26" s="72"/>
      <c r="AH26" s="73"/>
    </row>
    <row r="27" spans="1:34" ht="18.75" x14ac:dyDescent="0.3">
      <c r="A27" s="15">
        <v>27</v>
      </c>
      <c r="B27" s="15">
        <v>25</v>
      </c>
      <c r="C27" s="6" t="s">
        <v>66</v>
      </c>
      <c r="D27" s="6" t="s">
        <v>51</v>
      </c>
      <c r="E27" s="6"/>
      <c r="F27" s="7">
        <v>16</v>
      </c>
      <c r="G27" s="7">
        <f t="shared" si="2"/>
        <v>15</v>
      </c>
      <c r="H27" s="6"/>
      <c r="I27" s="27" t="s">
        <v>58</v>
      </c>
      <c r="J27" s="27"/>
      <c r="K27" s="6"/>
      <c r="L27" s="13">
        <v>325</v>
      </c>
      <c r="M27" s="16">
        <f>35+25+15</f>
        <v>75</v>
      </c>
      <c r="N27" s="16"/>
      <c r="O27" s="13">
        <f t="shared" ref="O27:O43" si="22">L27*F27</f>
        <v>5200</v>
      </c>
      <c r="P27" s="13">
        <f t="shared" si="11"/>
        <v>3639.9999999999995</v>
      </c>
      <c r="Q27" s="13">
        <f t="shared" si="13"/>
        <v>1560</v>
      </c>
      <c r="R27" s="13">
        <f t="shared" si="21"/>
        <v>1200</v>
      </c>
      <c r="S27" s="13">
        <f>H27*(L27+M27)+450</f>
        <v>450</v>
      </c>
      <c r="T27" s="13"/>
      <c r="U27" s="8">
        <f t="shared" si="1"/>
        <v>6850</v>
      </c>
      <c r="V27" s="13">
        <f t="shared" si="16"/>
        <v>3639.9999999999995</v>
      </c>
      <c r="W27" s="13">
        <f t="shared" si="12"/>
        <v>437</v>
      </c>
      <c r="X27" s="8">
        <f t="shared" si="7"/>
        <v>39</v>
      </c>
      <c r="Y27" s="8">
        <f t="shared" si="8"/>
        <v>6374</v>
      </c>
      <c r="Z27" s="11">
        <f t="shared" si="9"/>
        <v>0</v>
      </c>
      <c r="AA27" s="17">
        <v>110</v>
      </c>
      <c r="AB27" s="13"/>
      <c r="AC27" s="13"/>
      <c r="AD27" s="13"/>
      <c r="AE27" s="13">
        <f t="shared" si="20"/>
        <v>6374</v>
      </c>
      <c r="AF27" s="37"/>
      <c r="AG27" s="72"/>
      <c r="AH27" s="73"/>
    </row>
    <row r="28" spans="1:34" ht="18.75" x14ac:dyDescent="0.3">
      <c r="A28" s="15">
        <v>28</v>
      </c>
      <c r="B28" s="15">
        <v>26</v>
      </c>
      <c r="C28" s="6" t="s">
        <v>67</v>
      </c>
      <c r="D28" s="6" t="s">
        <v>51</v>
      </c>
      <c r="E28" s="6"/>
      <c r="F28" s="7">
        <v>28</v>
      </c>
      <c r="G28" s="7">
        <f t="shared" si="2"/>
        <v>3</v>
      </c>
      <c r="H28" s="6"/>
      <c r="I28" s="27" t="s">
        <v>58</v>
      </c>
      <c r="J28" s="27"/>
      <c r="K28" s="6"/>
      <c r="L28" s="13">
        <v>335</v>
      </c>
      <c r="M28" s="16">
        <f>25+25+15</f>
        <v>65</v>
      </c>
      <c r="N28" s="16"/>
      <c r="O28" s="13">
        <f t="shared" si="22"/>
        <v>9380</v>
      </c>
      <c r="P28" s="13">
        <f>O28*0.7</f>
        <v>6566</v>
      </c>
      <c r="Q28" s="13">
        <f t="shared" si="13"/>
        <v>2814</v>
      </c>
      <c r="R28" s="13">
        <f t="shared" si="21"/>
        <v>1820</v>
      </c>
      <c r="S28" s="13">
        <f>H28*(L28+M28)+435</f>
        <v>435</v>
      </c>
      <c r="T28" s="13"/>
      <c r="U28" s="8">
        <f t="shared" si="1"/>
        <v>11635</v>
      </c>
      <c r="V28" s="13">
        <f t="shared" si="16"/>
        <v>6566</v>
      </c>
      <c r="W28" s="13">
        <f t="shared" si="12"/>
        <v>788</v>
      </c>
      <c r="X28" s="8">
        <f t="shared" si="7"/>
        <v>71</v>
      </c>
      <c r="Y28" s="8">
        <f t="shared" si="8"/>
        <v>10776</v>
      </c>
      <c r="Z28" s="11">
        <f t="shared" si="9"/>
        <v>110</v>
      </c>
      <c r="AA28" s="17">
        <v>110</v>
      </c>
      <c r="AB28" s="13"/>
      <c r="AC28" s="13"/>
      <c r="AD28" s="13"/>
      <c r="AE28" s="13">
        <f t="shared" si="20"/>
        <v>10666</v>
      </c>
      <c r="AF28" s="37"/>
      <c r="AG28" s="72"/>
      <c r="AH28" s="73"/>
    </row>
    <row r="29" spans="1:34" ht="18.75" x14ac:dyDescent="0.3">
      <c r="A29" s="15">
        <v>29</v>
      </c>
      <c r="B29" s="15">
        <v>27</v>
      </c>
      <c r="C29" s="6" t="s">
        <v>68</v>
      </c>
      <c r="D29" s="6" t="s">
        <v>51</v>
      </c>
      <c r="E29" s="6"/>
      <c r="F29" s="7">
        <v>13</v>
      </c>
      <c r="G29" s="7">
        <f t="shared" si="2"/>
        <v>18</v>
      </c>
      <c r="H29" s="6"/>
      <c r="I29" s="27" t="s">
        <v>58</v>
      </c>
      <c r="J29" s="27"/>
      <c r="K29" s="6"/>
      <c r="L29" s="13">
        <v>325</v>
      </c>
      <c r="M29" s="16">
        <f>15+45+15</f>
        <v>75</v>
      </c>
      <c r="N29" s="16"/>
      <c r="O29" s="13">
        <f t="shared" si="22"/>
        <v>4225</v>
      </c>
      <c r="P29" s="13">
        <f t="shared" ref="P29:P40" si="23">O29*0.7</f>
        <v>2957.5</v>
      </c>
      <c r="Q29" s="13">
        <f t="shared" si="13"/>
        <v>1267.5</v>
      </c>
      <c r="R29" s="13">
        <f t="shared" si="21"/>
        <v>975</v>
      </c>
      <c r="S29" s="13">
        <f>H29*(L29+M29)+420</f>
        <v>420</v>
      </c>
      <c r="T29" s="13"/>
      <c r="U29" s="8">
        <f t="shared" si="1"/>
        <v>5620</v>
      </c>
      <c r="V29" s="13">
        <f t="shared" si="16"/>
        <v>2957.5</v>
      </c>
      <c r="W29" s="13">
        <f t="shared" si="12"/>
        <v>355</v>
      </c>
      <c r="X29" s="8">
        <f t="shared" si="7"/>
        <v>32</v>
      </c>
      <c r="Y29" s="8">
        <f t="shared" si="8"/>
        <v>5233</v>
      </c>
      <c r="Z29" s="11">
        <f t="shared" si="9"/>
        <v>0</v>
      </c>
      <c r="AA29" s="17">
        <f t="shared" si="10"/>
        <v>0</v>
      </c>
      <c r="AB29" s="13"/>
      <c r="AC29" s="13"/>
      <c r="AD29" s="13"/>
      <c r="AE29" s="13">
        <f t="shared" si="20"/>
        <v>5233</v>
      </c>
      <c r="AF29" s="37"/>
      <c r="AG29" s="72"/>
      <c r="AH29" s="73"/>
    </row>
    <row r="30" spans="1:34" ht="18.75" x14ac:dyDescent="0.3">
      <c r="A30" s="15">
        <v>30</v>
      </c>
      <c r="B30" s="15">
        <v>28</v>
      </c>
      <c r="C30" s="6" t="s">
        <v>69</v>
      </c>
      <c r="D30" s="6" t="s">
        <v>51</v>
      </c>
      <c r="E30" s="6"/>
      <c r="F30" s="7">
        <v>15</v>
      </c>
      <c r="G30" s="7">
        <f t="shared" si="2"/>
        <v>16</v>
      </c>
      <c r="H30" s="6"/>
      <c r="I30" s="27" t="s">
        <v>58</v>
      </c>
      <c r="J30" s="27"/>
      <c r="K30" s="6"/>
      <c r="L30" s="13">
        <v>325</v>
      </c>
      <c r="M30" s="16">
        <f>35+25+15</f>
        <v>75</v>
      </c>
      <c r="N30" s="16"/>
      <c r="O30" s="13">
        <f t="shared" si="22"/>
        <v>4875</v>
      </c>
      <c r="P30" s="13">
        <f t="shared" si="23"/>
        <v>3412.5</v>
      </c>
      <c r="Q30" s="13">
        <f t="shared" si="13"/>
        <v>1462.5</v>
      </c>
      <c r="R30" s="13">
        <f t="shared" si="21"/>
        <v>1125</v>
      </c>
      <c r="S30" s="13">
        <f>H30*(L30+M30)+435</f>
        <v>435</v>
      </c>
      <c r="T30" s="13"/>
      <c r="U30" s="8">
        <f t="shared" si="1"/>
        <v>6435</v>
      </c>
      <c r="V30" s="13">
        <f t="shared" si="16"/>
        <v>3412.5</v>
      </c>
      <c r="W30" s="13">
        <f t="shared" si="12"/>
        <v>410</v>
      </c>
      <c r="X30" s="8">
        <f t="shared" si="7"/>
        <v>37</v>
      </c>
      <c r="Y30" s="8">
        <f t="shared" si="8"/>
        <v>5988</v>
      </c>
      <c r="Z30" s="11">
        <f t="shared" si="9"/>
        <v>0</v>
      </c>
      <c r="AA30" s="17">
        <v>110</v>
      </c>
      <c r="AB30" s="13"/>
      <c r="AC30" s="13"/>
      <c r="AD30" s="13"/>
      <c r="AE30" s="13">
        <f t="shared" si="20"/>
        <v>5988</v>
      </c>
      <c r="AF30" s="37"/>
      <c r="AG30" s="72"/>
      <c r="AH30" s="73"/>
    </row>
    <row r="31" spans="1:34" ht="18.75" x14ac:dyDescent="0.3">
      <c r="A31" s="15">
        <v>31</v>
      </c>
      <c r="B31" s="15">
        <v>29</v>
      </c>
      <c r="C31" s="6" t="s">
        <v>70</v>
      </c>
      <c r="D31" s="6" t="s">
        <v>51</v>
      </c>
      <c r="E31" s="6"/>
      <c r="F31" s="7">
        <v>3</v>
      </c>
      <c r="G31" s="7">
        <f t="shared" si="2"/>
        <v>28</v>
      </c>
      <c r="H31" s="6"/>
      <c r="I31" s="27" t="s">
        <v>58</v>
      </c>
      <c r="J31" s="27"/>
      <c r="K31" s="6"/>
      <c r="L31" s="13">
        <v>335</v>
      </c>
      <c r="M31" s="16">
        <f>25+25+15</f>
        <v>65</v>
      </c>
      <c r="N31" s="16"/>
      <c r="O31" s="13">
        <f t="shared" si="22"/>
        <v>1005</v>
      </c>
      <c r="P31" s="13">
        <f t="shared" si="23"/>
        <v>703.5</v>
      </c>
      <c r="Q31" s="13">
        <f t="shared" si="13"/>
        <v>301.5</v>
      </c>
      <c r="R31" s="13">
        <f t="shared" si="21"/>
        <v>195</v>
      </c>
      <c r="S31" s="13">
        <f>H31*(L31+M31)+420</f>
        <v>420</v>
      </c>
      <c r="T31" s="13"/>
      <c r="U31" s="8">
        <f t="shared" si="1"/>
        <v>1620</v>
      </c>
      <c r="V31" s="13">
        <f t="shared" si="16"/>
        <v>703.5</v>
      </c>
      <c r="W31" s="13">
        <f t="shared" si="12"/>
        <v>84</v>
      </c>
      <c r="X31" s="8">
        <f t="shared" si="7"/>
        <v>8</v>
      </c>
      <c r="Y31" s="8">
        <f t="shared" si="8"/>
        <v>1528</v>
      </c>
      <c r="Z31" s="11">
        <f t="shared" si="9"/>
        <v>0</v>
      </c>
      <c r="AA31" s="17">
        <v>110</v>
      </c>
      <c r="AB31" s="13"/>
      <c r="AC31" s="13"/>
      <c r="AD31" s="13"/>
      <c r="AE31" s="13">
        <f t="shared" si="20"/>
        <v>1528</v>
      </c>
      <c r="AF31" s="37"/>
      <c r="AG31" s="72"/>
      <c r="AH31" s="73"/>
    </row>
    <row r="32" spans="1:34" ht="18.75" x14ac:dyDescent="0.3">
      <c r="A32" s="15">
        <v>32</v>
      </c>
      <c r="B32" s="15">
        <v>30</v>
      </c>
      <c r="C32" s="6" t="s">
        <v>71</v>
      </c>
      <c r="D32" s="6" t="s">
        <v>51</v>
      </c>
      <c r="E32" s="6"/>
      <c r="F32" s="7">
        <v>15</v>
      </c>
      <c r="G32" s="7">
        <f t="shared" si="2"/>
        <v>16</v>
      </c>
      <c r="H32" s="6"/>
      <c r="I32" s="27" t="s">
        <v>58</v>
      </c>
      <c r="J32" s="27"/>
      <c r="K32" s="6"/>
      <c r="L32" s="13">
        <v>325</v>
      </c>
      <c r="M32" s="16">
        <f>35+25+15</f>
        <v>75</v>
      </c>
      <c r="N32" s="16"/>
      <c r="O32" s="13">
        <f t="shared" si="22"/>
        <v>4875</v>
      </c>
      <c r="P32" s="13">
        <f t="shared" si="23"/>
        <v>3412.5</v>
      </c>
      <c r="Q32" s="13">
        <f t="shared" si="13"/>
        <v>1462.5</v>
      </c>
      <c r="R32" s="13">
        <f t="shared" si="21"/>
        <v>1125</v>
      </c>
      <c r="S32" s="13">
        <f>H32*(L32+M32)+450</f>
        <v>450</v>
      </c>
      <c r="T32" s="13"/>
      <c r="U32" s="8">
        <f t="shared" si="1"/>
        <v>6450</v>
      </c>
      <c r="V32" s="13">
        <f t="shared" si="16"/>
        <v>3412.5</v>
      </c>
      <c r="W32" s="13">
        <f t="shared" si="12"/>
        <v>410</v>
      </c>
      <c r="X32" s="8">
        <f t="shared" si="7"/>
        <v>37</v>
      </c>
      <c r="Y32" s="8">
        <f t="shared" si="8"/>
        <v>6003</v>
      </c>
      <c r="Z32" s="11">
        <f t="shared" si="9"/>
        <v>0</v>
      </c>
      <c r="AA32" s="17">
        <v>110</v>
      </c>
      <c r="AB32" s="13"/>
      <c r="AC32" s="13"/>
      <c r="AD32" s="13"/>
      <c r="AE32" s="13">
        <f t="shared" si="20"/>
        <v>6003</v>
      </c>
      <c r="AF32" s="37"/>
      <c r="AG32" s="72"/>
      <c r="AH32" s="73"/>
    </row>
    <row r="33" spans="1:34" ht="18.75" x14ac:dyDescent="0.3">
      <c r="A33" s="15">
        <v>34</v>
      </c>
      <c r="B33" s="15">
        <v>31</v>
      </c>
      <c r="C33" s="6" t="s">
        <v>72</v>
      </c>
      <c r="D33" s="6" t="s">
        <v>51</v>
      </c>
      <c r="E33" s="6"/>
      <c r="F33" s="7">
        <v>11</v>
      </c>
      <c r="G33" s="7">
        <f t="shared" si="2"/>
        <v>20</v>
      </c>
      <c r="H33" s="6"/>
      <c r="I33" s="27" t="s">
        <v>58</v>
      </c>
      <c r="J33" s="27"/>
      <c r="K33" s="6"/>
      <c r="L33" s="13">
        <v>325</v>
      </c>
      <c r="M33" s="16">
        <f>15+45+15</f>
        <v>75</v>
      </c>
      <c r="N33" s="16"/>
      <c r="O33" s="13">
        <f t="shared" si="22"/>
        <v>3575</v>
      </c>
      <c r="P33" s="13">
        <f t="shared" si="23"/>
        <v>2502.5</v>
      </c>
      <c r="Q33" s="13">
        <f t="shared" si="13"/>
        <v>1072.5</v>
      </c>
      <c r="R33" s="13">
        <f t="shared" si="21"/>
        <v>825</v>
      </c>
      <c r="S33" s="13">
        <f>H33*(L33+M33)+420</f>
        <v>420</v>
      </c>
      <c r="T33" s="13"/>
      <c r="U33" s="8">
        <f t="shared" si="1"/>
        <v>4820</v>
      </c>
      <c r="V33" s="13">
        <f t="shared" si="16"/>
        <v>2502.5</v>
      </c>
      <c r="W33" s="13">
        <f t="shared" si="12"/>
        <v>300</v>
      </c>
      <c r="X33" s="8">
        <f t="shared" si="7"/>
        <v>27</v>
      </c>
      <c r="Y33" s="8">
        <f t="shared" si="8"/>
        <v>4493</v>
      </c>
      <c r="Z33" s="11">
        <f t="shared" si="9"/>
        <v>0</v>
      </c>
      <c r="AA33" s="17">
        <f t="shared" si="10"/>
        <v>0</v>
      </c>
      <c r="AB33" s="13"/>
      <c r="AC33" s="13"/>
      <c r="AD33" s="13"/>
      <c r="AE33" s="13">
        <f t="shared" si="20"/>
        <v>4493</v>
      </c>
      <c r="AF33" s="37"/>
      <c r="AG33" s="72"/>
      <c r="AH33" s="73"/>
    </row>
    <row r="34" spans="1:34" ht="18.75" x14ac:dyDescent="0.3">
      <c r="A34" s="15">
        <v>35</v>
      </c>
      <c r="B34" s="15">
        <v>32</v>
      </c>
      <c r="C34" s="6" t="s">
        <v>73</v>
      </c>
      <c r="D34" s="6" t="s">
        <v>51</v>
      </c>
      <c r="E34" s="6"/>
      <c r="F34" s="7">
        <v>27</v>
      </c>
      <c r="G34" s="7">
        <f t="shared" si="2"/>
        <v>4</v>
      </c>
      <c r="H34" s="6"/>
      <c r="I34" s="27" t="s">
        <v>58</v>
      </c>
      <c r="J34" s="27"/>
      <c r="K34" s="6"/>
      <c r="L34" s="13">
        <v>325</v>
      </c>
      <c r="M34" s="16">
        <f>15+45+15</f>
        <v>75</v>
      </c>
      <c r="N34" s="16"/>
      <c r="O34" s="13">
        <f t="shared" si="22"/>
        <v>8775</v>
      </c>
      <c r="P34" s="13">
        <f t="shared" si="23"/>
        <v>6142.5</v>
      </c>
      <c r="Q34" s="13">
        <f t="shared" si="13"/>
        <v>2632.5</v>
      </c>
      <c r="R34" s="13">
        <f t="shared" si="21"/>
        <v>2025</v>
      </c>
      <c r="S34" s="13">
        <f>H34*(L34+M34)+450</f>
        <v>450</v>
      </c>
      <c r="T34" s="13"/>
      <c r="U34" s="8">
        <f t="shared" si="1"/>
        <v>11250</v>
      </c>
      <c r="V34" s="13">
        <f t="shared" si="16"/>
        <v>6142.5</v>
      </c>
      <c r="W34" s="13">
        <f t="shared" si="12"/>
        <v>737</v>
      </c>
      <c r="X34" s="8">
        <f t="shared" si="7"/>
        <v>66</v>
      </c>
      <c r="Y34" s="8">
        <f t="shared" si="8"/>
        <v>10447</v>
      </c>
      <c r="Z34" s="11">
        <f t="shared" si="9"/>
        <v>110</v>
      </c>
      <c r="AA34" s="17">
        <f t="shared" si="10"/>
        <v>110</v>
      </c>
      <c r="AB34" s="13"/>
      <c r="AC34" s="13"/>
      <c r="AD34" s="13"/>
      <c r="AE34" s="13">
        <f t="shared" si="20"/>
        <v>10337</v>
      </c>
      <c r="AF34" s="37"/>
      <c r="AG34" s="72"/>
      <c r="AH34" s="73"/>
    </row>
    <row r="35" spans="1:34" ht="18.75" x14ac:dyDescent="0.3">
      <c r="A35" s="15">
        <v>36</v>
      </c>
      <c r="B35" s="15">
        <v>33</v>
      </c>
      <c r="C35" s="6" t="s">
        <v>74</v>
      </c>
      <c r="D35" s="6" t="s">
        <v>51</v>
      </c>
      <c r="E35" s="6"/>
      <c r="F35" s="7">
        <v>18</v>
      </c>
      <c r="G35" s="7">
        <f t="shared" si="2"/>
        <v>13</v>
      </c>
      <c r="H35" s="6"/>
      <c r="I35" s="27" t="s">
        <v>58</v>
      </c>
      <c r="J35" s="27"/>
      <c r="K35" s="6"/>
      <c r="L35" s="13">
        <v>335</v>
      </c>
      <c r="M35" s="16">
        <f>25+25+15</f>
        <v>65</v>
      </c>
      <c r="N35" s="16"/>
      <c r="O35" s="13">
        <f t="shared" si="22"/>
        <v>6030</v>
      </c>
      <c r="P35" s="13">
        <f t="shared" si="23"/>
        <v>4221</v>
      </c>
      <c r="Q35" s="13">
        <f t="shared" si="13"/>
        <v>1809</v>
      </c>
      <c r="R35" s="13">
        <f t="shared" si="21"/>
        <v>1170</v>
      </c>
      <c r="S35" s="13">
        <f>H35*(L35+M35)+420</f>
        <v>420</v>
      </c>
      <c r="T35" s="13"/>
      <c r="U35" s="8">
        <f t="shared" si="1"/>
        <v>7620</v>
      </c>
      <c r="V35" s="13">
        <f t="shared" si="16"/>
        <v>4221</v>
      </c>
      <c r="W35" s="13">
        <f t="shared" si="12"/>
        <v>507</v>
      </c>
      <c r="X35" s="8">
        <f t="shared" si="7"/>
        <v>46</v>
      </c>
      <c r="Y35" s="8">
        <f t="shared" si="8"/>
        <v>7067</v>
      </c>
      <c r="Z35" s="11">
        <f t="shared" si="9"/>
        <v>0</v>
      </c>
      <c r="AA35" s="17">
        <v>110</v>
      </c>
      <c r="AB35" s="13"/>
      <c r="AC35" s="13"/>
      <c r="AD35" s="13"/>
      <c r="AE35" s="13">
        <f t="shared" si="20"/>
        <v>7067</v>
      </c>
      <c r="AF35" s="37"/>
      <c r="AG35" s="72"/>
      <c r="AH35" s="73"/>
    </row>
    <row r="36" spans="1:34" ht="18.75" x14ac:dyDescent="0.3">
      <c r="A36" s="15">
        <v>37</v>
      </c>
      <c r="B36" s="15">
        <v>34</v>
      </c>
      <c r="C36" s="6" t="s">
        <v>75</v>
      </c>
      <c r="D36" s="6" t="s">
        <v>51</v>
      </c>
      <c r="E36" s="6"/>
      <c r="F36" s="7">
        <v>15</v>
      </c>
      <c r="G36" s="7">
        <f t="shared" si="2"/>
        <v>16</v>
      </c>
      <c r="H36" s="6"/>
      <c r="I36" s="27" t="s">
        <v>58</v>
      </c>
      <c r="J36" s="27"/>
      <c r="K36" s="6"/>
      <c r="L36" s="13">
        <v>335</v>
      </c>
      <c r="M36" s="16">
        <f>25+25+15</f>
        <v>65</v>
      </c>
      <c r="N36" s="16"/>
      <c r="O36" s="13">
        <f>L36*F36</f>
        <v>5025</v>
      </c>
      <c r="P36" s="13">
        <f t="shared" si="23"/>
        <v>3517.5</v>
      </c>
      <c r="Q36" s="13">
        <f t="shared" si="13"/>
        <v>1507.5</v>
      </c>
      <c r="R36" s="13">
        <f t="shared" si="21"/>
        <v>975</v>
      </c>
      <c r="S36" s="13">
        <f>H36*(L36+M36)+435</f>
        <v>435</v>
      </c>
      <c r="T36" s="13"/>
      <c r="U36" s="8">
        <f t="shared" si="1"/>
        <v>6435</v>
      </c>
      <c r="V36" s="13">
        <f t="shared" si="16"/>
        <v>3517.5</v>
      </c>
      <c r="W36" s="13">
        <f t="shared" si="12"/>
        <v>422</v>
      </c>
      <c r="X36" s="8">
        <f t="shared" si="7"/>
        <v>38</v>
      </c>
      <c r="Y36" s="8">
        <f t="shared" si="8"/>
        <v>5975</v>
      </c>
      <c r="Z36" s="11">
        <f t="shared" si="9"/>
        <v>0</v>
      </c>
      <c r="AA36" s="17">
        <v>110</v>
      </c>
      <c r="AB36" s="13"/>
      <c r="AC36" s="13"/>
      <c r="AD36" s="13"/>
      <c r="AE36" s="13">
        <f t="shared" si="20"/>
        <v>5975</v>
      </c>
      <c r="AF36" s="37"/>
      <c r="AG36" s="72"/>
      <c r="AH36" s="73"/>
    </row>
    <row r="37" spans="1:34" ht="18.75" x14ac:dyDescent="0.3">
      <c r="A37" s="15">
        <v>38</v>
      </c>
      <c r="B37" s="15">
        <v>35</v>
      </c>
      <c r="C37" s="6" t="s">
        <v>76</v>
      </c>
      <c r="D37" s="6"/>
      <c r="E37" s="6"/>
      <c r="F37" s="7">
        <v>12</v>
      </c>
      <c r="G37" s="7">
        <f t="shared" si="2"/>
        <v>19</v>
      </c>
      <c r="H37" s="6"/>
      <c r="I37" s="27" t="s">
        <v>58</v>
      </c>
      <c r="J37" s="27"/>
      <c r="K37" s="6"/>
      <c r="L37" s="13">
        <v>325</v>
      </c>
      <c r="M37" s="16">
        <f>35+25+15</f>
        <v>75</v>
      </c>
      <c r="N37" s="16"/>
      <c r="O37" s="13">
        <f t="shared" ref="O37:O41" si="24">L37*F37</f>
        <v>3900</v>
      </c>
      <c r="P37" s="13">
        <f t="shared" si="23"/>
        <v>2730</v>
      </c>
      <c r="Q37" s="13">
        <f t="shared" si="13"/>
        <v>1170</v>
      </c>
      <c r="R37" s="13">
        <f t="shared" si="21"/>
        <v>900</v>
      </c>
      <c r="S37" s="13">
        <f>H37*(L37+M37)+405</f>
        <v>405</v>
      </c>
      <c r="T37" s="13"/>
      <c r="U37" s="8">
        <f t="shared" si="1"/>
        <v>5205</v>
      </c>
      <c r="V37" s="13">
        <f t="shared" si="16"/>
        <v>2730</v>
      </c>
      <c r="W37" s="13">
        <f t="shared" si="12"/>
        <v>328</v>
      </c>
      <c r="X37" s="8">
        <f t="shared" si="7"/>
        <v>30</v>
      </c>
      <c r="Y37" s="8">
        <f t="shared" si="8"/>
        <v>4847</v>
      </c>
      <c r="Z37" s="11">
        <f t="shared" si="9"/>
        <v>0</v>
      </c>
      <c r="AA37" s="17">
        <v>110</v>
      </c>
      <c r="AB37" s="13"/>
      <c r="AC37" s="13"/>
      <c r="AD37" s="13"/>
      <c r="AE37" s="13">
        <f t="shared" si="20"/>
        <v>4847</v>
      </c>
      <c r="AF37" s="37"/>
      <c r="AG37" s="72"/>
      <c r="AH37" s="73"/>
    </row>
    <row r="38" spans="1:34" ht="18.75" x14ac:dyDescent="0.3">
      <c r="A38" s="15">
        <v>39</v>
      </c>
      <c r="B38" s="15">
        <v>36</v>
      </c>
      <c r="C38" s="6" t="s">
        <v>77</v>
      </c>
      <c r="D38" s="6"/>
      <c r="E38" s="6"/>
      <c r="F38" s="7">
        <v>26</v>
      </c>
      <c r="G38" s="7">
        <f t="shared" si="2"/>
        <v>5</v>
      </c>
      <c r="H38" s="6"/>
      <c r="I38" s="27" t="s">
        <v>58</v>
      </c>
      <c r="J38" s="27"/>
      <c r="K38" s="6"/>
      <c r="L38" s="13">
        <v>315</v>
      </c>
      <c r="M38" s="16">
        <f>45+25+15</f>
        <v>85</v>
      </c>
      <c r="N38" s="16"/>
      <c r="O38" s="13">
        <f t="shared" si="24"/>
        <v>8190</v>
      </c>
      <c r="P38" s="13">
        <f t="shared" si="23"/>
        <v>5733</v>
      </c>
      <c r="Q38" s="13">
        <f t="shared" si="13"/>
        <v>2457</v>
      </c>
      <c r="R38" s="13">
        <f t="shared" si="21"/>
        <v>2210</v>
      </c>
      <c r="S38" s="13">
        <f>H38*(L38+M38)+450</f>
        <v>450</v>
      </c>
      <c r="T38" s="13"/>
      <c r="U38" s="8">
        <f t="shared" si="1"/>
        <v>10850</v>
      </c>
      <c r="V38" s="13">
        <f t="shared" si="16"/>
        <v>5733</v>
      </c>
      <c r="W38" s="13">
        <f t="shared" si="12"/>
        <v>688</v>
      </c>
      <c r="X38" s="8">
        <f t="shared" si="7"/>
        <v>62</v>
      </c>
      <c r="Y38" s="8">
        <f t="shared" si="8"/>
        <v>10100</v>
      </c>
      <c r="Z38" s="11">
        <f t="shared" si="9"/>
        <v>110</v>
      </c>
      <c r="AA38" s="17">
        <v>110</v>
      </c>
      <c r="AB38" s="13"/>
      <c r="AC38" s="13"/>
      <c r="AD38" s="13"/>
      <c r="AE38" s="13">
        <f t="shared" si="20"/>
        <v>9990</v>
      </c>
      <c r="AF38" s="37"/>
      <c r="AG38" s="72"/>
      <c r="AH38" s="73"/>
    </row>
    <row r="39" spans="1:34" s="69" customFormat="1" ht="18.75" x14ac:dyDescent="0.3">
      <c r="A39" s="61">
        <v>40</v>
      </c>
      <c r="B39" s="61">
        <v>37</v>
      </c>
      <c r="C39" s="62" t="s">
        <v>78</v>
      </c>
      <c r="D39" s="62"/>
      <c r="E39" s="62"/>
      <c r="F39" s="62">
        <v>0</v>
      </c>
      <c r="G39" s="62">
        <f t="shared" si="2"/>
        <v>31</v>
      </c>
      <c r="H39" s="62"/>
      <c r="I39" s="63" t="s">
        <v>58</v>
      </c>
      <c r="J39" s="63"/>
      <c r="K39" s="62"/>
      <c r="L39" s="64">
        <v>315</v>
      </c>
      <c r="M39" s="65">
        <f>25+45+15</f>
        <v>85</v>
      </c>
      <c r="N39" s="65"/>
      <c r="O39" s="64">
        <f t="shared" si="24"/>
        <v>0</v>
      </c>
      <c r="P39" s="64">
        <f t="shared" si="23"/>
        <v>0</v>
      </c>
      <c r="Q39" s="64">
        <f t="shared" si="13"/>
        <v>0</v>
      </c>
      <c r="R39" s="64">
        <f t="shared" si="21"/>
        <v>0</v>
      </c>
      <c r="S39" s="64">
        <f>H39*(L39+M39)</f>
        <v>0</v>
      </c>
      <c r="T39" s="64"/>
      <c r="U39" s="64">
        <f t="shared" si="1"/>
        <v>0</v>
      </c>
      <c r="V39" s="64">
        <f t="shared" si="16"/>
        <v>0</v>
      </c>
      <c r="W39" s="64">
        <f t="shared" si="12"/>
        <v>0</v>
      </c>
      <c r="X39" s="64">
        <f t="shared" si="7"/>
        <v>0</v>
      </c>
      <c r="Y39" s="64">
        <f t="shared" si="8"/>
        <v>0</v>
      </c>
      <c r="Z39" s="66">
        <f t="shared" si="9"/>
        <v>0</v>
      </c>
      <c r="AA39" s="67">
        <v>110</v>
      </c>
      <c r="AB39" s="64"/>
      <c r="AC39" s="64"/>
      <c r="AD39" s="64"/>
      <c r="AE39" s="64">
        <f t="shared" si="20"/>
        <v>0</v>
      </c>
      <c r="AF39" s="68"/>
      <c r="AG39" s="75"/>
      <c r="AH39" s="76"/>
    </row>
    <row r="40" spans="1:34" ht="18.75" x14ac:dyDescent="0.3">
      <c r="A40" s="15">
        <v>41</v>
      </c>
      <c r="B40" s="15">
        <v>38</v>
      </c>
      <c r="C40" s="6" t="s">
        <v>79</v>
      </c>
      <c r="D40" s="6"/>
      <c r="E40" s="6"/>
      <c r="F40" s="7">
        <v>13</v>
      </c>
      <c r="G40" s="7">
        <f t="shared" si="2"/>
        <v>18</v>
      </c>
      <c r="H40" s="6"/>
      <c r="I40" s="27" t="s">
        <v>58</v>
      </c>
      <c r="J40" s="27"/>
      <c r="K40" s="6"/>
      <c r="L40" s="13">
        <v>315</v>
      </c>
      <c r="M40" s="16">
        <f>45+25+15</f>
        <v>85</v>
      </c>
      <c r="N40" s="16"/>
      <c r="O40" s="13">
        <f t="shared" si="24"/>
        <v>4095</v>
      </c>
      <c r="P40" s="13">
        <f t="shared" si="23"/>
        <v>2866.5</v>
      </c>
      <c r="Q40" s="13">
        <f t="shared" si="13"/>
        <v>1228.5</v>
      </c>
      <c r="R40" s="13">
        <f t="shared" si="21"/>
        <v>1105</v>
      </c>
      <c r="S40" s="13">
        <f>H40*(L40+M40)+435</f>
        <v>435</v>
      </c>
      <c r="T40" s="13"/>
      <c r="U40" s="8">
        <f t="shared" si="1"/>
        <v>5635</v>
      </c>
      <c r="V40" s="13">
        <f t="shared" si="16"/>
        <v>2866.5</v>
      </c>
      <c r="W40" s="13">
        <f t="shared" si="12"/>
        <v>344</v>
      </c>
      <c r="X40" s="8">
        <f t="shared" si="7"/>
        <v>31</v>
      </c>
      <c r="Y40" s="8">
        <f t="shared" si="8"/>
        <v>5260</v>
      </c>
      <c r="Z40" s="11">
        <f t="shared" si="9"/>
        <v>0</v>
      </c>
      <c r="AA40" s="17">
        <v>110</v>
      </c>
      <c r="AB40" s="13"/>
      <c r="AC40" s="13"/>
      <c r="AD40" s="13"/>
      <c r="AE40" s="13">
        <f t="shared" si="20"/>
        <v>5260</v>
      </c>
      <c r="AF40" s="37"/>
      <c r="AG40" s="72"/>
      <c r="AH40" s="73"/>
    </row>
    <row r="41" spans="1:34" s="35" customFormat="1" ht="18.75" x14ac:dyDescent="0.3">
      <c r="A41" s="15">
        <v>42</v>
      </c>
      <c r="B41" s="15">
        <v>39</v>
      </c>
      <c r="C41" s="6" t="s">
        <v>80</v>
      </c>
      <c r="D41" s="6"/>
      <c r="E41" s="6"/>
      <c r="F41" s="7">
        <v>31</v>
      </c>
      <c r="G41" s="6">
        <f t="shared" si="2"/>
        <v>0</v>
      </c>
      <c r="H41" s="6"/>
      <c r="I41" s="38"/>
      <c r="J41" s="6">
        <f>50000+10000</f>
        <v>60000</v>
      </c>
      <c r="K41" s="6">
        <f>50000+10000</f>
        <v>60000</v>
      </c>
      <c r="L41" s="13">
        <f>K41/31</f>
        <v>1935.483870967742</v>
      </c>
      <c r="M41" s="16">
        <f t="shared" ref="M41:M46" si="25">R41/31</f>
        <v>0</v>
      </c>
      <c r="N41" s="16"/>
      <c r="O41" s="13">
        <f t="shared" si="24"/>
        <v>60000</v>
      </c>
      <c r="P41" s="13">
        <f>O41*0.7</f>
        <v>42000</v>
      </c>
      <c r="Q41" s="13">
        <f t="shared" si="13"/>
        <v>18000</v>
      </c>
      <c r="R41" s="13"/>
      <c r="S41" s="13">
        <f t="shared" si="19"/>
        <v>0</v>
      </c>
      <c r="T41" s="13"/>
      <c r="U41" s="13">
        <f t="shared" ref="U41:U53" si="26">P41+Q41+S41+T41+R41</f>
        <v>60000</v>
      </c>
      <c r="V41" s="13">
        <v>0</v>
      </c>
      <c r="W41" s="13">
        <f t="shared" si="12"/>
        <v>0</v>
      </c>
      <c r="X41" s="13">
        <f t="shared" si="7"/>
        <v>0</v>
      </c>
      <c r="Y41" s="13">
        <f t="shared" si="8"/>
        <v>60000</v>
      </c>
      <c r="Z41" s="11">
        <f t="shared" si="9"/>
        <v>200</v>
      </c>
      <c r="AA41" s="17">
        <f t="shared" ref="AA41" si="27">Z41</f>
        <v>200</v>
      </c>
      <c r="AB41" s="13"/>
      <c r="AC41" s="13"/>
      <c r="AD41" s="13"/>
      <c r="AE41" s="13">
        <f>U41-W41-X41-Z41-AB41-AD41</f>
        <v>59800</v>
      </c>
      <c r="AF41" s="37"/>
      <c r="AG41" s="77"/>
      <c r="AH41" s="74"/>
    </row>
    <row r="42" spans="1:34" ht="18.75" x14ac:dyDescent="0.3">
      <c r="A42" s="15">
        <v>43</v>
      </c>
      <c r="B42" s="15">
        <v>40</v>
      </c>
      <c r="C42" s="6" t="s">
        <v>81</v>
      </c>
      <c r="D42" s="6"/>
      <c r="E42" s="6"/>
      <c r="F42" s="7">
        <v>31</v>
      </c>
      <c r="G42" s="7">
        <f t="shared" si="2"/>
        <v>0</v>
      </c>
      <c r="H42" s="6"/>
      <c r="I42" s="38"/>
      <c r="J42" s="6">
        <v>25000</v>
      </c>
      <c r="K42" s="6">
        <v>25000</v>
      </c>
      <c r="L42" s="13">
        <f t="shared" ref="L42:L46" si="28">K42/31</f>
        <v>806.45161290322585</v>
      </c>
      <c r="M42" s="16">
        <f t="shared" si="25"/>
        <v>0</v>
      </c>
      <c r="N42" s="16"/>
      <c r="O42" s="13">
        <f>L42*F42</f>
        <v>25000</v>
      </c>
      <c r="P42" s="13">
        <f>O42*0.7</f>
        <v>17500</v>
      </c>
      <c r="Q42" s="13">
        <f>O42*0.3</f>
        <v>7500</v>
      </c>
      <c r="R42" s="13"/>
      <c r="S42" s="13">
        <f t="shared" si="19"/>
        <v>0</v>
      </c>
      <c r="T42" s="13"/>
      <c r="U42" s="13">
        <f t="shared" si="26"/>
        <v>25000</v>
      </c>
      <c r="V42" s="13">
        <v>0</v>
      </c>
      <c r="W42" s="13">
        <v>0</v>
      </c>
      <c r="X42" s="8">
        <f t="shared" si="7"/>
        <v>0</v>
      </c>
      <c r="Y42" s="8">
        <f t="shared" si="8"/>
        <v>25000</v>
      </c>
      <c r="Z42" s="11">
        <f t="shared" si="9"/>
        <v>130</v>
      </c>
      <c r="AA42" s="17">
        <v>130</v>
      </c>
      <c r="AB42" s="13"/>
      <c r="AC42" s="13"/>
      <c r="AD42" s="13"/>
      <c r="AE42" s="13">
        <f t="shared" si="20"/>
        <v>24870</v>
      </c>
      <c r="AF42" s="37"/>
      <c r="AG42" s="72"/>
      <c r="AH42" s="73"/>
    </row>
    <row r="43" spans="1:34" ht="18.75" x14ac:dyDescent="0.3">
      <c r="A43" s="15">
        <v>44</v>
      </c>
      <c r="B43" s="15">
        <v>41</v>
      </c>
      <c r="C43" s="6" t="s">
        <v>82</v>
      </c>
      <c r="D43" s="6" t="s">
        <v>83</v>
      </c>
      <c r="E43" s="6"/>
      <c r="F43" s="7">
        <v>31</v>
      </c>
      <c r="G43" s="7">
        <f t="shared" si="2"/>
        <v>0</v>
      </c>
      <c r="H43" s="6"/>
      <c r="I43" s="38"/>
      <c r="J43" s="6">
        <v>25000</v>
      </c>
      <c r="K43" s="6">
        <v>25000</v>
      </c>
      <c r="L43" s="13">
        <f t="shared" si="28"/>
        <v>806.45161290322585</v>
      </c>
      <c r="M43" s="16">
        <f t="shared" si="25"/>
        <v>0</v>
      </c>
      <c r="N43" s="16"/>
      <c r="O43" s="13">
        <f t="shared" si="22"/>
        <v>25000</v>
      </c>
      <c r="P43" s="13">
        <f t="shared" si="11"/>
        <v>17500</v>
      </c>
      <c r="Q43" s="13">
        <f>O43*0.3</f>
        <v>7500</v>
      </c>
      <c r="R43" s="13"/>
      <c r="S43" s="13">
        <f t="shared" si="19"/>
        <v>0</v>
      </c>
      <c r="T43" s="13"/>
      <c r="U43" s="13">
        <f t="shared" si="26"/>
        <v>25000</v>
      </c>
      <c r="V43" s="13">
        <v>0</v>
      </c>
      <c r="W43" s="13">
        <v>0</v>
      </c>
      <c r="X43" s="8">
        <f t="shared" si="7"/>
        <v>0</v>
      </c>
      <c r="Y43" s="8">
        <f t="shared" si="8"/>
        <v>25000</v>
      </c>
      <c r="Z43" s="11">
        <f t="shared" si="9"/>
        <v>130</v>
      </c>
      <c r="AA43" s="17">
        <f t="shared" si="10"/>
        <v>130</v>
      </c>
      <c r="AB43" s="13"/>
      <c r="AC43" s="13"/>
      <c r="AD43" s="13"/>
      <c r="AE43" s="13">
        <f>U43-W43-X43-Z43-AB43-AC43</f>
        <v>24870</v>
      </c>
      <c r="AF43" s="26"/>
      <c r="AG43" s="72"/>
      <c r="AH43" s="73"/>
    </row>
    <row r="44" spans="1:34" ht="18.75" x14ac:dyDescent="0.3">
      <c r="A44" s="15">
        <v>45</v>
      </c>
      <c r="B44" s="15">
        <v>42</v>
      </c>
      <c r="C44" s="6" t="s">
        <v>84</v>
      </c>
      <c r="D44" s="6"/>
      <c r="E44" s="6"/>
      <c r="F44" s="7">
        <v>31</v>
      </c>
      <c r="G44" s="7">
        <f t="shared" si="2"/>
        <v>0</v>
      </c>
      <c r="H44" s="6"/>
      <c r="I44" s="38"/>
      <c r="J44" s="6">
        <v>25000</v>
      </c>
      <c r="K44" s="6">
        <v>25000</v>
      </c>
      <c r="L44" s="13">
        <f t="shared" si="28"/>
        <v>806.45161290322585</v>
      </c>
      <c r="M44" s="16">
        <f t="shared" si="25"/>
        <v>0</v>
      </c>
      <c r="N44" s="16"/>
      <c r="O44" s="13">
        <f>L44*F44</f>
        <v>25000</v>
      </c>
      <c r="P44" s="13">
        <v>25000</v>
      </c>
      <c r="Q44" s="13">
        <v>0</v>
      </c>
      <c r="R44" s="13"/>
      <c r="S44" s="13">
        <f t="shared" si="19"/>
        <v>0</v>
      </c>
      <c r="T44" s="13"/>
      <c r="U44" s="13">
        <f t="shared" si="26"/>
        <v>25000</v>
      </c>
      <c r="V44" s="13">
        <v>0</v>
      </c>
      <c r="W44" s="13">
        <v>0</v>
      </c>
      <c r="X44" s="8">
        <f t="shared" si="7"/>
        <v>0</v>
      </c>
      <c r="Y44" s="8">
        <f t="shared" si="8"/>
        <v>25000</v>
      </c>
      <c r="Z44" s="11">
        <f t="shared" si="9"/>
        <v>130</v>
      </c>
      <c r="AA44" s="17">
        <v>130</v>
      </c>
      <c r="AB44" s="13"/>
      <c r="AC44" s="13"/>
      <c r="AD44" s="13"/>
      <c r="AE44" s="13">
        <f t="shared" ref="AE44:AE51" si="29">U44-W44-X44-Z44-AB44</f>
        <v>24870</v>
      </c>
      <c r="AF44" s="26"/>
      <c r="AG44" s="72"/>
      <c r="AH44" s="73"/>
    </row>
    <row r="45" spans="1:34" ht="18.75" x14ac:dyDescent="0.3">
      <c r="A45" s="15">
        <v>42</v>
      </c>
      <c r="B45" s="15">
        <v>43</v>
      </c>
      <c r="C45" s="6" t="s">
        <v>85</v>
      </c>
      <c r="D45" s="6"/>
      <c r="E45" s="6"/>
      <c r="F45" s="7">
        <v>20</v>
      </c>
      <c r="G45" s="7">
        <f t="shared" si="2"/>
        <v>11</v>
      </c>
      <c r="H45" s="6"/>
      <c r="I45" s="38"/>
      <c r="J45" s="6">
        <v>35000</v>
      </c>
      <c r="K45" s="6">
        <v>35000</v>
      </c>
      <c r="L45" s="13">
        <f t="shared" si="28"/>
        <v>1129.0322580645161</v>
      </c>
      <c r="M45" s="16">
        <f t="shared" si="25"/>
        <v>0</v>
      </c>
      <c r="N45" s="16"/>
      <c r="O45" s="13">
        <f t="shared" ref="O45:O54" si="30">L45*F45</f>
        <v>22580.645161290322</v>
      </c>
      <c r="P45" s="13">
        <f>O45*0.7</f>
        <v>15806.451612903224</v>
      </c>
      <c r="Q45" s="13">
        <f t="shared" ref="Q45:Q54" si="31">O45*0.3</f>
        <v>6774.1935483870966</v>
      </c>
      <c r="R45" s="13"/>
      <c r="S45" s="13">
        <f t="shared" si="19"/>
        <v>0</v>
      </c>
      <c r="T45" s="13"/>
      <c r="U45" s="13">
        <f t="shared" si="26"/>
        <v>22580.645161290318</v>
      </c>
      <c r="V45" s="13">
        <v>0</v>
      </c>
      <c r="W45" s="13">
        <f t="shared" ref="W45:W54" si="32">ROUND(IF(V45&lt;=15000,V45*12%,IF(V45&gt;15000,0)),0)</f>
        <v>0</v>
      </c>
      <c r="X45" s="8">
        <f t="shared" si="7"/>
        <v>0</v>
      </c>
      <c r="Y45" s="8">
        <f t="shared" si="8"/>
        <v>22580.645161290318</v>
      </c>
      <c r="Z45" s="11">
        <f t="shared" si="9"/>
        <v>130</v>
      </c>
      <c r="AA45" s="17">
        <f t="shared" ref="AA45:AA46" si="33">Z45</f>
        <v>130</v>
      </c>
      <c r="AB45" s="13"/>
      <c r="AC45" s="13"/>
      <c r="AD45" s="13"/>
      <c r="AE45" s="13">
        <f>U45-W45-X45-Z45-AB45-AD45</f>
        <v>22450.645161290318</v>
      </c>
      <c r="AF45" s="37"/>
      <c r="AG45" s="72"/>
      <c r="AH45" s="73"/>
    </row>
    <row r="46" spans="1:34" s="35" customFormat="1" ht="18.75" x14ac:dyDescent="0.3">
      <c r="A46" s="15">
        <v>42</v>
      </c>
      <c r="B46" s="15">
        <v>44</v>
      </c>
      <c r="C46" s="6" t="s">
        <v>86</v>
      </c>
      <c r="D46" s="6"/>
      <c r="E46" s="6"/>
      <c r="F46" s="7">
        <v>31</v>
      </c>
      <c r="G46" s="7">
        <f t="shared" si="2"/>
        <v>0</v>
      </c>
      <c r="H46" s="6"/>
      <c r="I46" s="38"/>
      <c r="J46" s="6">
        <f>50000+10000</f>
        <v>60000</v>
      </c>
      <c r="K46" s="6">
        <f>50000+10000</f>
        <v>60000</v>
      </c>
      <c r="L46" s="13">
        <f t="shared" si="28"/>
        <v>1935.483870967742</v>
      </c>
      <c r="M46" s="16">
        <f t="shared" si="25"/>
        <v>0</v>
      </c>
      <c r="N46" s="16"/>
      <c r="O46" s="13">
        <f t="shared" si="30"/>
        <v>60000</v>
      </c>
      <c r="P46" s="13">
        <f>O46*0.7</f>
        <v>42000</v>
      </c>
      <c r="Q46" s="13">
        <f t="shared" si="31"/>
        <v>18000</v>
      </c>
      <c r="R46" s="13"/>
      <c r="S46" s="13">
        <f t="shared" si="19"/>
        <v>0</v>
      </c>
      <c r="T46" s="13"/>
      <c r="U46" s="13">
        <f t="shared" si="26"/>
        <v>60000</v>
      </c>
      <c r="V46" s="13">
        <v>0</v>
      </c>
      <c r="W46" s="13">
        <f t="shared" si="32"/>
        <v>0</v>
      </c>
      <c r="X46" s="13">
        <f t="shared" si="7"/>
        <v>0</v>
      </c>
      <c r="Y46" s="13">
        <f t="shared" si="8"/>
        <v>60000</v>
      </c>
      <c r="Z46" s="11">
        <f t="shared" si="9"/>
        <v>200</v>
      </c>
      <c r="AA46" s="17">
        <f t="shared" si="33"/>
        <v>200</v>
      </c>
      <c r="AB46" s="13"/>
      <c r="AC46" s="13"/>
      <c r="AD46" s="13"/>
      <c r="AE46" s="13">
        <f>U46-W46-X46-Z46-AB46-AD46</f>
        <v>59800</v>
      </c>
      <c r="AF46" s="37"/>
      <c r="AG46" s="72"/>
      <c r="AH46" s="74"/>
    </row>
    <row r="47" spans="1:34" ht="18.75" x14ac:dyDescent="0.3">
      <c r="A47" s="15">
        <v>47</v>
      </c>
      <c r="B47" s="15">
        <v>45</v>
      </c>
      <c r="C47" s="6" t="s">
        <v>87</v>
      </c>
      <c r="D47" s="6"/>
      <c r="E47" s="6"/>
      <c r="F47" s="7">
        <v>13</v>
      </c>
      <c r="G47" s="7">
        <f t="shared" si="2"/>
        <v>18</v>
      </c>
      <c r="H47" s="6"/>
      <c r="I47" s="38"/>
      <c r="J47" s="38"/>
      <c r="K47" s="6">
        <v>0</v>
      </c>
      <c r="L47" s="13">
        <v>356</v>
      </c>
      <c r="M47" s="9">
        <f>19+20+15</f>
        <v>54</v>
      </c>
      <c r="N47" s="16"/>
      <c r="O47" s="13">
        <f t="shared" si="30"/>
        <v>4628</v>
      </c>
      <c r="P47" s="13">
        <f t="shared" ref="P47:P50" si="34">O47*0.7</f>
        <v>3239.6</v>
      </c>
      <c r="Q47" s="13">
        <f t="shared" si="31"/>
        <v>1388.3999999999999</v>
      </c>
      <c r="R47" s="13">
        <f>M47*F47</f>
        <v>702</v>
      </c>
      <c r="S47" s="13">
        <f>H47*(L47+M47)+435</f>
        <v>435</v>
      </c>
      <c r="T47" s="13"/>
      <c r="U47" s="13">
        <f t="shared" si="26"/>
        <v>5765</v>
      </c>
      <c r="V47" s="13">
        <f>P47</f>
        <v>3239.6</v>
      </c>
      <c r="W47" s="13">
        <f t="shared" si="32"/>
        <v>389</v>
      </c>
      <c r="X47" s="8">
        <f t="shared" si="7"/>
        <v>35</v>
      </c>
      <c r="Y47" s="8">
        <f t="shared" si="8"/>
        <v>5341</v>
      </c>
      <c r="Z47" s="11">
        <f t="shared" si="9"/>
        <v>0</v>
      </c>
      <c r="AA47" s="17">
        <v>110</v>
      </c>
      <c r="AB47" s="13"/>
      <c r="AC47" s="13"/>
      <c r="AD47" s="13"/>
      <c r="AE47" s="13">
        <f t="shared" si="29"/>
        <v>5341</v>
      </c>
      <c r="AF47" s="26"/>
      <c r="AG47" s="72"/>
      <c r="AH47" s="73"/>
    </row>
    <row r="48" spans="1:34" ht="18.75" x14ac:dyDescent="0.3">
      <c r="A48" s="15">
        <v>48</v>
      </c>
      <c r="B48" s="15">
        <v>46</v>
      </c>
      <c r="C48" s="6" t="s">
        <v>88</v>
      </c>
      <c r="D48" s="6"/>
      <c r="E48" s="6"/>
      <c r="F48" s="7">
        <v>15</v>
      </c>
      <c r="G48" s="7">
        <f t="shared" si="2"/>
        <v>16</v>
      </c>
      <c r="H48" s="6"/>
      <c r="I48" s="38"/>
      <c r="J48" s="38"/>
      <c r="K48" s="6">
        <v>0</v>
      </c>
      <c r="L48" s="13">
        <v>356</v>
      </c>
      <c r="M48" s="9">
        <f>19+20+15</f>
        <v>54</v>
      </c>
      <c r="N48" s="16"/>
      <c r="O48" s="13">
        <f t="shared" si="30"/>
        <v>5340</v>
      </c>
      <c r="P48" s="13">
        <f t="shared" si="34"/>
        <v>3737.9999999999995</v>
      </c>
      <c r="Q48" s="13">
        <f t="shared" si="31"/>
        <v>1602</v>
      </c>
      <c r="R48" s="13">
        <f t="shared" ref="R48:R50" si="35">M48*F48</f>
        <v>810</v>
      </c>
      <c r="S48" s="13">
        <f>H48*(L48+M48)+420</f>
        <v>420</v>
      </c>
      <c r="T48" s="13"/>
      <c r="U48" s="13">
        <f t="shared" si="26"/>
        <v>6570</v>
      </c>
      <c r="V48" s="13">
        <f>P48</f>
        <v>3737.9999999999995</v>
      </c>
      <c r="W48" s="13">
        <f t="shared" si="32"/>
        <v>449</v>
      </c>
      <c r="X48" s="8">
        <f t="shared" si="7"/>
        <v>41</v>
      </c>
      <c r="Y48" s="8">
        <f t="shared" si="8"/>
        <v>6080</v>
      </c>
      <c r="Z48" s="11">
        <f t="shared" si="9"/>
        <v>0</v>
      </c>
      <c r="AA48" s="17">
        <v>110</v>
      </c>
      <c r="AB48" s="13"/>
      <c r="AC48" s="13"/>
      <c r="AD48" s="13"/>
      <c r="AE48" s="13">
        <f t="shared" si="29"/>
        <v>6080</v>
      </c>
      <c r="AF48" s="26"/>
      <c r="AG48" s="72"/>
      <c r="AH48" s="73"/>
    </row>
    <row r="49" spans="1:34" ht="18.75" x14ac:dyDescent="0.3">
      <c r="A49" s="15">
        <v>49</v>
      </c>
      <c r="B49" s="15">
        <v>47</v>
      </c>
      <c r="C49" s="6" t="s">
        <v>89</v>
      </c>
      <c r="D49" s="6"/>
      <c r="E49" s="6"/>
      <c r="F49" s="7">
        <v>13</v>
      </c>
      <c r="G49" s="7">
        <f t="shared" si="2"/>
        <v>18</v>
      </c>
      <c r="H49" s="6"/>
      <c r="I49" s="27" t="s">
        <v>58</v>
      </c>
      <c r="J49" s="27"/>
      <c r="K49" s="6">
        <v>0</v>
      </c>
      <c r="L49" s="13">
        <v>334</v>
      </c>
      <c r="M49" s="9">
        <f>26+25+15</f>
        <v>66</v>
      </c>
      <c r="N49" s="16"/>
      <c r="O49" s="13">
        <f t="shared" si="30"/>
        <v>4342</v>
      </c>
      <c r="P49" s="13">
        <f t="shared" si="34"/>
        <v>3039.3999999999996</v>
      </c>
      <c r="Q49" s="13">
        <f t="shared" si="31"/>
        <v>1302.5999999999999</v>
      </c>
      <c r="R49" s="13">
        <f t="shared" si="35"/>
        <v>858</v>
      </c>
      <c r="S49" s="13">
        <f>H49*(L49+M49)+390</f>
        <v>390</v>
      </c>
      <c r="T49" s="13"/>
      <c r="U49" s="13">
        <f t="shared" si="26"/>
        <v>5590</v>
      </c>
      <c r="V49" s="13">
        <f>P49</f>
        <v>3039.3999999999996</v>
      </c>
      <c r="W49" s="13">
        <f t="shared" si="32"/>
        <v>365</v>
      </c>
      <c r="X49" s="8">
        <f t="shared" si="7"/>
        <v>33</v>
      </c>
      <c r="Y49" s="8">
        <f t="shared" si="8"/>
        <v>5192</v>
      </c>
      <c r="Z49" s="11">
        <f t="shared" si="9"/>
        <v>0</v>
      </c>
      <c r="AA49" s="17">
        <f t="shared" si="10"/>
        <v>0</v>
      </c>
      <c r="AB49" s="13"/>
      <c r="AC49" s="13"/>
      <c r="AD49" s="13"/>
      <c r="AE49" s="13">
        <f t="shared" si="29"/>
        <v>5192</v>
      </c>
      <c r="AF49" s="26"/>
      <c r="AG49" s="72"/>
      <c r="AH49" s="73"/>
    </row>
    <row r="50" spans="1:34" ht="18.75" x14ac:dyDescent="0.3">
      <c r="A50" s="15">
        <v>50</v>
      </c>
      <c r="B50" s="15">
        <v>48</v>
      </c>
      <c r="C50" s="6" t="s">
        <v>90</v>
      </c>
      <c r="D50" s="6"/>
      <c r="E50" s="6"/>
      <c r="F50" s="7">
        <v>15</v>
      </c>
      <c r="G50" s="7">
        <f t="shared" si="2"/>
        <v>16</v>
      </c>
      <c r="H50" s="6"/>
      <c r="I50" s="27" t="s">
        <v>58</v>
      </c>
      <c r="J50" s="27"/>
      <c r="K50" s="6">
        <v>0</v>
      </c>
      <c r="L50" s="13">
        <v>325</v>
      </c>
      <c r="M50" s="9">
        <f>15+45+15</f>
        <v>75</v>
      </c>
      <c r="N50" s="16"/>
      <c r="O50" s="13">
        <f t="shared" si="30"/>
        <v>4875</v>
      </c>
      <c r="P50" s="13">
        <f t="shared" si="34"/>
        <v>3412.5</v>
      </c>
      <c r="Q50" s="13">
        <f t="shared" si="31"/>
        <v>1462.5</v>
      </c>
      <c r="R50" s="13">
        <f t="shared" si="35"/>
        <v>1125</v>
      </c>
      <c r="S50" s="13">
        <f>H50*(L50+M50)+435</f>
        <v>435</v>
      </c>
      <c r="T50" s="13"/>
      <c r="U50" s="13">
        <f t="shared" si="26"/>
        <v>6435</v>
      </c>
      <c r="V50" s="13">
        <f>P50</f>
        <v>3412.5</v>
      </c>
      <c r="W50" s="13">
        <f t="shared" si="32"/>
        <v>410</v>
      </c>
      <c r="X50" s="8">
        <f t="shared" si="7"/>
        <v>37</v>
      </c>
      <c r="Y50" s="8">
        <f t="shared" si="8"/>
        <v>5988</v>
      </c>
      <c r="Z50" s="11">
        <f t="shared" si="9"/>
        <v>0</v>
      </c>
      <c r="AA50" s="17">
        <f t="shared" si="10"/>
        <v>0</v>
      </c>
      <c r="AB50" s="13"/>
      <c r="AC50" s="13"/>
      <c r="AD50" s="13"/>
      <c r="AE50" s="13">
        <f t="shared" si="29"/>
        <v>5988</v>
      </c>
      <c r="AF50" s="26"/>
      <c r="AG50" s="72"/>
      <c r="AH50" s="73"/>
    </row>
    <row r="51" spans="1:34" ht="18.75" x14ac:dyDescent="0.3">
      <c r="A51" s="15">
        <v>51</v>
      </c>
      <c r="B51" s="15">
        <v>49</v>
      </c>
      <c r="C51" s="6" t="s">
        <v>91</v>
      </c>
      <c r="D51" s="6"/>
      <c r="E51" s="6"/>
      <c r="F51" s="7">
        <v>30</v>
      </c>
      <c r="G51" s="7">
        <f t="shared" si="2"/>
        <v>1</v>
      </c>
      <c r="H51" s="6"/>
      <c r="I51" s="27"/>
      <c r="J51" s="6">
        <v>51000</v>
      </c>
      <c r="K51" s="6">
        <v>51000</v>
      </c>
      <c r="L51" s="13">
        <f>K51/31</f>
        <v>1645.1612903225807</v>
      </c>
      <c r="M51" s="8">
        <f>N51/30</f>
        <v>0</v>
      </c>
      <c r="N51" s="16"/>
      <c r="O51" s="13">
        <f t="shared" si="30"/>
        <v>49354.838709677424</v>
      </c>
      <c r="P51" s="13">
        <f>O51*0.51</f>
        <v>25170.967741935488</v>
      </c>
      <c r="Q51" s="13">
        <f>O51*0.49</f>
        <v>24183.870967741936</v>
      </c>
      <c r="R51" s="13"/>
      <c r="S51" s="16">
        <f t="shared" si="19"/>
        <v>0</v>
      </c>
      <c r="T51" s="13"/>
      <c r="U51" s="13">
        <f t="shared" si="26"/>
        <v>49354.838709677424</v>
      </c>
      <c r="V51" s="13">
        <v>0</v>
      </c>
      <c r="W51" s="13">
        <f t="shared" si="32"/>
        <v>0</v>
      </c>
      <c r="X51" s="8">
        <f t="shared" si="7"/>
        <v>0</v>
      </c>
      <c r="Y51" s="8">
        <f t="shared" si="8"/>
        <v>49354.838709677424</v>
      </c>
      <c r="Z51" s="11">
        <f t="shared" si="9"/>
        <v>200</v>
      </c>
      <c r="AA51" s="17">
        <v>200</v>
      </c>
      <c r="AB51" s="13"/>
      <c r="AC51" s="13"/>
      <c r="AD51" s="13"/>
      <c r="AE51" s="13">
        <f t="shared" si="29"/>
        <v>49154.838709677424</v>
      </c>
      <c r="AF51" s="37"/>
      <c r="AG51" s="72"/>
      <c r="AH51" s="73"/>
    </row>
    <row r="52" spans="1:34" ht="18.75" x14ac:dyDescent="0.3">
      <c r="A52" s="15">
        <v>52</v>
      </c>
      <c r="B52" s="15">
        <v>50</v>
      </c>
      <c r="C52" s="6" t="s">
        <v>92</v>
      </c>
      <c r="D52" s="6"/>
      <c r="E52" s="6"/>
      <c r="F52" s="7">
        <v>31</v>
      </c>
      <c r="G52" s="7">
        <f t="shared" si="2"/>
        <v>0</v>
      </c>
      <c r="H52" s="6"/>
      <c r="I52" s="39"/>
      <c r="J52" s="6">
        <f>50000+10000</f>
        <v>60000</v>
      </c>
      <c r="K52" s="6">
        <f>50000+10000</f>
        <v>60000</v>
      </c>
      <c r="L52" s="13">
        <f t="shared" ref="L52:L53" si="36">K52/31</f>
        <v>1935.483870967742</v>
      </c>
      <c r="M52" s="16">
        <f>R52/30</f>
        <v>0</v>
      </c>
      <c r="N52" s="16"/>
      <c r="O52" s="13">
        <f t="shared" si="30"/>
        <v>60000</v>
      </c>
      <c r="P52" s="13">
        <f>O52*0.7</f>
        <v>42000</v>
      </c>
      <c r="Q52" s="13">
        <f t="shared" si="31"/>
        <v>18000</v>
      </c>
      <c r="R52" s="13"/>
      <c r="S52" s="13">
        <f t="shared" si="19"/>
        <v>0</v>
      </c>
      <c r="T52" s="13"/>
      <c r="U52" s="13">
        <f t="shared" si="26"/>
        <v>60000</v>
      </c>
      <c r="V52" s="13">
        <v>0</v>
      </c>
      <c r="W52" s="13">
        <f t="shared" si="32"/>
        <v>0</v>
      </c>
      <c r="X52" s="8">
        <f t="shared" si="7"/>
        <v>0</v>
      </c>
      <c r="Y52" s="8">
        <f t="shared" si="8"/>
        <v>60000</v>
      </c>
      <c r="Z52" s="11"/>
      <c r="AA52" s="17">
        <f t="shared" si="10"/>
        <v>0</v>
      </c>
      <c r="AB52" s="13"/>
      <c r="AC52" s="13"/>
      <c r="AD52" s="13">
        <v>15000</v>
      </c>
      <c r="AE52" s="13">
        <f>Y52-AD52</f>
        <v>45000</v>
      </c>
      <c r="AF52" s="37"/>
      <c r="AG52" s="72"/>
      <c r="AH52" s="73"/>
    </row>
    <row r="53" spans="1:34" ht="18.75" x14ac:dyDescent="0.3">
      <c r="A53" s="15">
        <v>53</v>
      </c>
      <c r="B53" s="15">
        <v>51</v>
      </c>
      <c r="C53" s="6" t="s">
        <v>93</v>
      </c>
      <c r="D53" s="6" t="s">
        <v>31</v>
      </c>
      <c r="E53" s="6"/>
      <c r="F53" s="7">
        <v>30</v>
      </c>
      <c r="G53" s="7">
        <f t="shared" si="2"/>
        <v>1</v>
      </c>
      <c r="H53" s="6">
        <v>1</v>
      </c>
      <c r="I53" s="39"/>
      <c r="J53" s="6">
        <v>21700</v>
      </c>
      <c r="K53" s="6">
        <v>16000</v>
      </c>
      <c r="L53" s="13">
        <f t="shared" si="36"/>
        <v>516.12903225806451</v>
      </c>
      <c r="M53" s="16">
        <f>R53/30</f>
        <v>248.38709677419354</v>
      </c>
      <c r="N53" s="16">
        <f>2000+1000+2000+700+2000</f>
        <v>7700</v>
      </c>
      <c r="O53" s="13">
        <f t="shared" si="30"/>
        <v>15483.870967741936</v>
      </c>
      <c r="P53" s="13">
        <f>O53*0.7</f>
        <v>10838.709677419354</v>
      </c>
      <c r="Q53" s="13">
        <f t="shared" si="31"/>
        <v>4645.1612903225805</v>
      </c>
      <c r="R53" s="13">
        <f>(1000+1000+1000+2000+700+2000)/31*F53</f>
        <v>7451.6129032258059</v>
      </c>
      <c r="S53" s="16">
        <f t="shared" si="19"/>
        <v>764.51612903225805</v>
      </c>
      <c r="T53" s="13">
        <v>150</v>
      </c>
      <c r="U53" s="13">
        <f t="shared" si="26"/>
        <v>23850</v>
      </c>
      <c r="V53" s="13">
        <f>P53</f>
        <v>10838.709677419354</v>
      </c>
      <c r="W53" s="13">
        <f t="shared" si="32"/>
        <v>1301</v>
      </c>
      <c r="X53" s="8">
        <f t="shared" si="7"/>
        <v>0</v>
      </c>
      <c r="Y53" s="8">
        <f t="shared" si="8"/>
        <v>22549</v>
      </c>
      <c r="Z53" s="11">
        <f t="shared" si="9"/>
        <v>130</v>
      </c>
      <c r="AA53" s="17">
        <v>130</v>
      </c>
      <c r="AB53" s="13"/>
      <c r="AC53" s="13"/>
      <c r="AD53" s="13"/>
      <c r="AE53" s="13">
        <f>U53-W53-X53-Z53-AB53</f>
        <v>22419</v>
      </c>
      <c r="AF53" s="37"/>
      <c r="AG53" s="72"/>
      <c r="AH53" s="73"/>
    </row>
    <row r="54" spans="1:34" ht="18.75" x14ac:dyDescent="0.3">
      <c r="A54" s="15">
        <v>54</v>
      </c>
      <c r="B54" s="15">
        <v>52</v>
      </c>
      <c r="C54" s="6" t="s">
        <v>94</v>
      </c>
      <c r="D54" s="6"/>
      <c r="E54" s="6"/>
      <c r="F54" s="7">
        <v>31</v>
      </c>
      <c r="G54" s="7">
        <f t="shared" si="2"/>
        <v>0</v>
      </c>
      <c r="H54" s="6"/>
      <c r="I54" s="27" t="s">
        <v>49</v>
      </c>
      <c r="J54" s="27"/>
      <c r="K54" s="6"/>
      <c r="L54" s="13">
        <v>320</v>
      </c>
      <c r="M54" s="16">
        <f>20+15</f>
        <v>35</v>
      </c>
      <c r="N54" s="16"/>
      <c r="O54" s="13">
        <f t="shared" si="30"/>
        <v>9920</v>
      </c>
      <c r="P54" s="13">
        <f t="shared" ref="P54" si="37">O54*0.7</f>
        <v>6944</v>
      </c>
      <c r="Q54" s="13">
        <f t="shared" si="31"/>
        <v>2976</v>
      </c>
      <c r="R54" s="13">
        <f>M54*F54</f>
        <v>1085</v>
      </c>
      <c r="S54" s="13">
        <f>H54*(L54+M54)+435</f>
        <v>435</v>
      </c>
      <c r="T54" s="13"/>
      <c r="U54" s="8">
        <f t="shared" ref="U54:U55" si="38">P54+Q54+S54+R54+T54</f>
        <v>11440</v>
      </c>
      <c r="V54" s="13">
        <f t="shared" ref="V54" si="39">P54</f>
        <v>6944</v>
      </c>
      <c r="W54" s="13">
        <f t="shared" si="32"/>
        <v>833</v>
      </c>
      <c r="X54" s="8">
        <f t="shared" si="7"/>
        <v>75</v>
      </c>
      <c r="Y54" s="8">
        <f t="shared" si="8"/>
        <v>10532</v>
      </c>
      <c r="Z54" s="11">
        <f t="shared" si="9"/>
        <v>110</v>
      </c>
      <c r="AA54" s="17"/>
      <c r="AB54" s="13"/>
      <c r="AC54" s="13"/>
      <c r="AD54" s="13"/>
      <c r="AE54" s="13">
        <f>U54-W54-X54-Z54-AB54-AC54</f>
        <v>10422</v>
      </c>
      <c r="AF54" s="37"/>
      <c r="AG54" s="72"/>
      <c r="AH54" s="73"/>
    </row>
    <row r="55" spans="1:34" s="42" customFormat="1" ht="18.75" x14ac:dyDescent="0.3">
      <c r="A55" s="19">
        <v>55</v>
      </c>
      <c r="B55" s="19">
        <v>53</v>
      </c>
      <c r="C55" s="20" t="s">
        <v>95</v>
      </c>
      <c r="D55" s="20"/>
      <c r="E55" s="20"/>
      <c r="F55" s="20">
        <v>26</v>
      </c>
      <c r="G55" s="7">
        <f t="shared" si="2"/>
        <v>5</v>
      </c>
      <c r="H55" s="20"/>
      <c r="I55" s="20"/>
      <c r="J55" s="20">
        <v>23000</v>
      </c>
      <c r="K55" s="20">
        <v>22000</v>
      </c>
      <c r="L55" s="21">
        <f>K55/31</f>
        <v>709.67741935483866</v>
      </c>
      <c r="M55" s="21">
        <f>N55/31</f>
        <v>32.258064516129032</v>
      </c>
      <c r="N55" s="22">
        <v>1000</v>
      </c>
      <c r="O55" s="21">
        <f>L55*F55</f>
        <v>18451.612903225807</v>
      </c>
      <c r="P55" s="21">
        <f>O55*1</f>
        <v>18451.612903225807</v>
      </c>
      <c r="Q55" s="40">
        <v>0</v>
      </c>
      <c r="R55" s="21">
        <f>(N55)/31*F55</f>
        <v>838.70967741935488</v>
      </c>
      <c r="S55" s="22">
        <f t="shared" ref="S55" si="40">(L55+M55)*H55</f>
        <v>0</v>
      </c>
      <c r="T55" s="21"/>
      <c r="U55" s="21">
        <f t="shared" si="38"/>
        <v>19290.322580645163</v>
      </c>
      <c r="V55" s="40">
        <v>0</v>
      </c>
      <c r="W55" s="40">
        <f>IF(V55&lt;=15000,V55*12%,IF(V55&gt;15000,0))</f>
        <v>0</v>
      </c>
      <c r="X55" s="21">
        <f t="shared" si="7"/>
        <v>0</v>
      </c>
      <c r="Y55" s="21">
        <f>U55-W55-X55</f>
        <v>19290.322580645163</v>
      </c>
      <c r="Z55" s="23">
        <f>IF(U55&gt;40000,200,IF(U55&gt;25000,150,IF(U55&gt;15000,130,IF(U55&gt;10000,110,0))))</f>
        <v>130</v>
      </c>
      <c r="AA55" s="24">
        <v>130</v>
      </c>
      <c r="AB55" s="21"/>
      <c r="AC55" s="40"/>
      <c r="AD55" s="40"/>
      <c r="AE55" s="21">
        <f>U55-W55-X55-Z55-AB55</f>
        <v>19160.322580645163</v>
      </c>
      <c r="AF55" s="41"/>
      <c r="AG55" s="72"/>
      <c r="AH55" s="78"/>
    </row>
    <row r="56" spans="1:34" ht="18.75" x14ac:dyDescent="0.3">
      <c r="A56" s="43"/>
      <c r="B56" s="43"/>
      <c r="C56" s="44" t="s">
        <v>96</v>
      </c>
      <c r="D56" s="44"/>
      <c r="E56" s="44"/>
      <c r="F56" s="44">
        <f>SUM(F3:F55)</f>
        <v>1139</v>
      </c>
      <c r="G56" s="44"/>
      <c r="H56" s="44">
        <f>SUM(H3:H55)</f>
        <v>5</v>
      </c>
      <c r="I56" s="45"/>
      <c r="J56" s="45"/>
      <c r="K56" s="44"/>
      <c r="L56" s="44">
        <f>SUM(L3:L55)</f>
        <v>27667.61290322581</v>
      </c>
      <c r="M56" s="44">
        <f>SUM(M3:M55)</f>
        <v>3701.7419354838712</v>
      </c>
      <c r="N56" s="44"/>
      <c r="O56" s="44">
        <f t="shared" ref="O56:T56" si="41">SUM(O3:O55)</f>
        <v>668813.87096774194</v>
      </c>
      <c r="P56" s="46">
        <f t="shared" si="41"/>
        <v>489189.06451612903</v>
      </c>
      <c r="Q56" s="47">
        <f t="shared" si="41"/>
        <v>179624.80645161288</v>
      </c>
      <c r="R56" s="47">
        <f t="shared" si="41"/>
        <v>76055.645161290304</v>
      </c>
      <c r="S56" s="44">
        <f t="shared" si="41"/>
        <v>11764.677419354837</v>
      </c>
      <c r="T56" s="47">
        <f t="shared" si="41"/>
        <v>300</v>
      </c>
      <c r="U56" s="48">
        <f t="shared" ref="U56:Z56" si="42">SUM(U3:U55)</f>
        <v>756934.19354838715</v>
      </c>
      <c r="V56" s="48">
        <f t="shared" si="42"/>
        <v>185889.06451612906</v>
      </c>
      <c r="W56" s="48">
        <f t="shared" si="42"/>
        <v>22313</v>
      </c>
      <c r="X56" s="48">
        <f t="shared" si="42"/>
        <v>1865</v>
      </c>
      <c r="Y56" s="48">
        <f t="shared" si="42"/>
        <v>732756.19354838715</v>
      </c>
      <c r="Z56" s="48">
        <f t="shared" si="42"/>
        <v>3080</v>
      </c>
      <c r="AA56" s="49">
        <v>4400</v>
      </c>
      <c r="AB56" s="49">
        <f>SUM(AB3:AB54)</f>
        <v>2000</v>
      </c>
      <c r="AC56" s="49"/>
      <c r="AD56" s="49">
        <f>SUM(AD3:AD54)</f>
        <v>15000</v>
      </c>
      <c r="AE56" s="50">
        <f>SUM(AE3:AE55)</f>
        <v>712676.19354838715</v>
      </c>
      <c r="AF56" s="37"/>
      <c r="AG56" s="72"/>
      <c r="AH56" s="73"/>
    </row>
    <row r="57" spans="1:34" ht="18.75" x14ac:dyDescent="0.3">
      <c r="U57" s="35"/>
      <c r="V57" s="35"/>
      <c r="W57" s="35"/>
      <c r="X57" s="35"/>
      <c r="Y57" s="51"/>
      <c r="Z57" s="35"/>
      <c r="AA57" s="35"/>
      <c r="AB57" s="35"/>
      <c r="AC57" s="35"/>
      <c r="AD57" s="35"/>
      <c r="AE57" s="52"/>
      <c r="AF57" s="35"/>
      <c r="AG57" s="72"/>
      <c r="AH57" s="73"/>
    </row>
    <row r="58" spans="1:34" ht="18.75" x14ac:dyDescent="0.3">
      <c r="AG58" s="72"/>
      <c r="AH58" s="73"/>
    </row>
    <row r="59" spans="1:34" ht="18.75" x14ac:dyDescent="0.3">
      <c r="AG59" s="72"/>
      <c r="AH59" s="73"/>
    </row>
    <row r="60" spans="1:34" x14ac:dyDescent="0.25">
      <c r="AG60" s="73"/>
      <c r="AH60" s="73"/>
    </row>
    <row r="61" spans="1:34" x14ac:dyDescent="0.25">
      <c r="AG61" s="73"/>
      <c r="AH61" s="73"/>
    </row>
    <row r="64" spans="1:34" ht="18" x14ac:dyDescent="0.25">
      <c r="C64" s="57" t="s">
        <v>98</v>
      </c>
      <c r="D64" s="57"/>
      <c r="E64" s="57"/>
      <c r="F64" s="57"/>
      <c r="G64" s="57"/>
      <c r="H64" s="57"/>
      <c r="I64" s="57"/>
      <c r="J64" s="57"/>
      <c r="K64" s="57"/>
    </row>
    <row r="65" spans="19:46" s="58" customFormat="1" ht="18" x14ac:dyDescent="0.25"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</row>
  </sheetData>
  <mergeCells count="1">
    <mergeCell ref="B1:AE1"/>
  </mergeCells>
  <pageMargins left="0.25" right="0.25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2"/>
  <sheetViews>
    <sheetView topLeftCell="B1" zoomScale="78" zoomScaleNormal="78" workbookViewId="0">
      <pane xSplit="4" ySplit="2" topLeftCell="F43" activePane="bottomRight" state="frozen"/>
      <selection activeCell="B1" sqref="B1"/>
      <selection pane="topRight" activeCell="F1" sqref="F1"/>
      <selection pane="bottomLeft" activeCell="B3" sqref="B3"/>
      <selection pane="bottomRight" activeCell="X8" sqref="X8"/>
    </sheetView>
  </sheetViews>
  <sheetFormatPr defaultRowHeight="15" x14ac:dyDescent="0.25"/>
  <cols>
    <col min="1" max="1" width="0" hidden="1" customWidth="1"/>
    <col min="2" max="2" width="7.28515625" customWidth="1"/>
    <col min="3" max="3" width="35.42578125" customWidth="1"/>
    <col min="4" max="4" width="25.5703125" hidden="1" customWidth="1"/>
    <col min="5" max="5" width="2" hidden="1" customWidth="1"/>
    <col min="6" max="6" width="8.140625" bestFit="1" customWidth="1"/>
    <col min="9" max="9" width="9.140625" hidden="1" customWidth="1"/>
    <col min="10" max="11" width="9.85546875" bestFit="1" customWidth="1"/>
    <col min="12" max="12" width="12.85546875" customWidth="1"/>
    <col min="13" max="13" width="14.28515625" bestFit="1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4" s="55" customFormat="1" ht="36" customHeight="1" x14ac:dyDescent="0.25">
      <c r="B1" s="84" t="s">
        <v>99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6"/>
    </row>
    <row r="2" spans="1:34" s="4" customFormat="1" ht="94.5" x14ac:dyDescent="0.25">
      <c r="A2" s="59" t="s">
        <v>0</v>
      </c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4</v>
      </c>
      <c r="J2" s="59" t="s">
        <v>8</v>
      </c>
      <c r="K2" s="59" t="s">
        <v>9</v>
      </c>
      <c r="L2" s="59" t="s">
        <v>10</v>
      </c>
      <c r="M2" s="59" t="s">
        <v>11</v>
      </c>
      <c r="N2" s="59" t="s">
        <v>12</v>
      </c>
      <c r="O2" s="59" t="s">
        <v>13</v>
      </c>
      <c r="P2" s="59" t="s">
        <v>14</v>
      </c>
      <c r="Q2" s="59" t="s">
        <v>15</v>
      </c>
      <c r="R2" s="59" t="s">
        <v>16</v>
      </c>
      <c r="S2" s="59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59" t="s">
        <v>23</v>
      </c>
      <c r="Z2" s="60" t="s">
        <v>24</v>
      </c>
      <c r="AA2" s="59" t="s">
        <v>25</v>
      </c>
      <c r="AB2" s="59" t="s">
        <v>26</v>
      </c>
      <c r="AC2" s="59" t="s">
        <v>27</v>
      </c>
      <c r="AD2" s="59" t="s">
        <v>28</v>
      </c>
      <c r="AE2" s="59" t="s">
        <v>29</v>
      </c>
      <c r="AF2" s="3"/>
    </row>
    <row r="3" spans="1:34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30</v>
      </c>
      <c r="G3" s="7">
        <f>30-F3</f>
        <v>0</v>
      </c>
      <c r="H3" s="7"/>
      <c r="I3" s="7"/>
      <c r="J3" s="7">
        <v>26200</v>
      </c>
      <c r="K3" s="7">
        <v>19500</v>
      </c>
      <c r="L3" s="8">
        <f>ROUND(K3/30,0)</f>
        <v>650</v>
      </c>
      <c r="M3" s="8">
        <f>ROUND(N3/30,0)</f>
        <v>223</v>
      </c>
      <c r="N3" s="9">
        <f>1000+1000+2000+700+2000</f>
        <v>6700</v>
      </c>
      <c r="O3" s="8">
        <f>L3*F3</f>
        <v>19500</v>
      </c>
      <c r="P3" s="8">
        <f>O3*1</f>
        <v>19500</v>
      </c>
      <c r="Q3" s="10">
        <v>0</v>
      </c>
      <c r="R3" s="8">
        <f>(1000+1000+2000+700+2000)/30*F3</f>
        <v>6700</v>
      </c>
      <c r="S3" s="9">
        <f t="shared" ref="S3:S14" si="0">(L3+M3)*H3</f>
        <v>0</v>
      </c>
      <c r="T3" s="8"/>
      <c r="U3" s="8">
        <f t="shared" ref="U3:U37" si="1">P3+Q3+S3+R3+T3</f>
        <v>26200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26200</v>
      </c>
      <c r="Z3" s="11">
        <f>IF(U3&gt;40000,200,IF(U3&gt;25000,150,IF(U3&gt;15000,130,IF(U3&gt;10000,110,0))))</f>
        <v>150</v>
      </c>
      <c r="AA3" s="12">
        <v>130</v>
      </c>
      <c r="AB3" s="8"/>
      <c r="AC3" s="10"/>
      <c r="AD3" s="10"/>
      <c r="AE3" s="13">
        <f>U3-W3-X3-Z3-AB3</f>
        <v>26050</v>
      </c>
      <c r="AF3" s="14"/>
    </row>
    <row r="4" spans="1:34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27</v>
      </c>
      <c r="G4" s="7">
        <f t="shared" ref="G4:G52" si="2">30-F4</f>
        <v>3</v>
      </c>
      <c r="H4" s="6"/>
      <c r="I4" s="6"/>
      <c r="J4" s="6">
        <v>13500</v>
      </c>
      <c r="K4" s="6">
        <f>11000</f>
        <v>11000</v>
      </c>
      <c r="L4" s="8">
        <f t="shared" ref="L4:L12" si="3">K4/30</f>
        <v>366.66666666666669</v>
      </c>
      <c r="M4" s="8">
        <f>N4/30</f>
        <v>83.333333333333329</v>
      </c>
      <c r="N4" s="16">
        <f>2000+500</f>
        <v>2500</v>
      </c>
      <c r="O4" s="13">
        <f t="shared" ref="O4:O23" si="4">L4*F4</f>
        <v>9900</v>
      </c>
      <c r="P4" s="13">
        <f>O4*0.7</f>
        <v>6930</v>
      </c>
      <c r="Q4" s="13">
        <f t="shared" ref="Q4:Q5" si="5">O4*0.3</f>
        <v>2970</v>
      </c>
      <c r="R4" s="13">
        <f>(1000+600+400+500)/30*F4</f>
        <v>2250</v>
      </c>
      <c r="S4" s="16">
        <f t="shared" si="0"/>
        <v>0</v>
      </c>
      <c r="T4" s="13"/>
      <c r="U4" s="8">
        <f t="shared" si="1"/>
        <v>12150</v>
      </c>
      <c r="V4" s="13">
        <f>P4</f>
        <v>6930</v>
      </c>
      <c r="W4" s="13">
        <f>ROUND(IF(V4&lt;=15000,V4*12%,IF(V4&gt;15000,0)),0)</f>
        <v>832</v>
      </c>
      <c r="X4" s="8">
        <f t="shared" ref="X4:X52" si="6">IF(J4&lt;=21000,ROUNDUP(O4*0.75%,0),0)</f>
        <v>75</v>
      </c>
      <c r="Y4" s="8">
        <f t="shared" ref="Y4:Y51" si="7">U4-W4-X4</f>
        <v>11243</v>
      </c>
      <c r="Z4" s="11">
        <f t="shared" ref="Z4:Z51" si="8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11133</v>
      </c>
      <c r="AF4" s="14"/>
    </row>
    <row r="5" spans="1:34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30</v>
      </c>
      <c r="G5" s="7">
        <f t="shared" si="2"/>
        <v>0</v>
      </c>
      <c r="H5" s="7"/>
      <c r="I5" s="7"/>
      <c r="J5" s="7">
        <v>16950</v>
      </c>
      <c r="K5" s="7">
        <f>11000+1000</f>
        <v>12000</v>
      </c>
      <c r="L5" s="8">
        <f t="shared" si="3"/>
        <v>400</v>
      </c>
      <c r="M5" s="8">
        <f t="shared" ref="M5:M12" si="9">N5/30</f>
        <v>165</v>
      </c>
      <c r="N5" s="9">
        <f>1000+1000+1500+700+750</f>
        <v>4950</v>
      </c>
      <c r="O5" s="8">
        <f t="shared" si="4"/>
        <v>12000</v>
      </c>
      <c r="P5" s="8">
        <f>O5*0.7</f>
        <v>8400</v>
      </c>
      <c r="Q5" s="13">
        <f t="shared" si="5"/>
        <v>3600</v>
      </c>
      <c r="R5" s="8">
        <f>(1000+1000+1500+700+750)/30*F5</f>
        <v>4950</v>
      </c>
      <c r="S5" s="9">
        <f t="shared" si="0"/>
        <v>0</v>
      </c>
      <c r="T5" s="8"/>
      <c r="U5" s="8">
        <f t="shared" si="1"/>
        <v>16950</v>
      </c>
      <c r="V5" s="8">
        <f>P5</f>
        <v>8400</v>
      </c>
      <c r="W5" s="8">
        <f>ROUND(IF(V5&lt;=15000,V5*12%,IF(V5&gt;15000,0)),0)</f>
        <v>1008</v>
      </c>
      <c r="X5" s="8">
        <f t="shared" si="6"/>
        <v>90</v>
      </c>
      <c r="Y5" s="8">
        <f t="shared" si="7"/>
        <v>15852</v>
      </c>
      <c r="Z5" s="11">
        <f t="shared" si="8"/>
        <v>130</v>
      </c>
      <c r="AA5" s="17">
        <v>110</v>
      </c>
      <c r="AB5" s="10"/>
      <c r="AC5" s="10"/>
      <c r="AD5" s="10"/>
      <c r="AE5" s="13">
        <f>U5-W5-X5-Z5-AB5</f>
        <v>15722</v>
      </c>
      <c r="AF5" s="14"/>
    </row>
    <row r="6" spans="1:34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27</v>
      </c>
      <c r="G6" s="7">
        <v>27</v>
      </c>
      <c r="H6" s="6"/>
      <c r="I6" s="6"/>
      <c r="J6" s="6">
        <v>22700</v>
      </c>
      <c r="K6" s="6">
        <f>16000+1000</f>
        <v>17000</v>
      </c>
      <c r="L6" s="8">
        <f t="shared" si="3"/>
        <v>566.66666666666663</v>
      </c>
      <c r="M6" s="8">
        <f t="shared" si="9"/>
        <v>190</v>
      </c>
      <c r="N6" s="16">
        <f>1000+1000+1500+700+1500</f>
        <v>5700</v>
      </c>
      <c r="O6" s="13">
        <f t="shared" si="4"/>
        <v>15299.999999999998</v>
      </c>
      <c r="P6" s="13">
        <f>O6*1</f>
        <v>15299.999999999998</v>
      </c>
      <c r="Q6" s="13">
        <v>0</v>
      </c>
      <c r="R6" s="13">
        <f>(1000+1000+1500+700+1500)/30*F6</f>
        <v>5130</v>
      </c>
      <c r="S6" s="16">
        <f t="shared" si="0"/>
        <v>0</v>
      </c>
      <c r="T6" s="13"/>
      <c r="U6" s="13">
        <f t="shared" si="1"/>
        <v>20430</v>
      </c>
      <c r="V6" s="8">
        <v>0</v>
      </c>
      <c r="W6" s="8">
        <f>ROUND(IF(V6&lt;=15000,V6*12%,IF(V6&gt;15000,0)),0)</f>
        <v>0</v>
      </c>
      <c r="X6" s="8">
        <f>IF(O6&lt;=21000,ROUNDUP(O6*0.75%,0),0)</f>
        <v>115</v>
      </c>
      <c r="Y6" s="13">
        <f t="shared" si="7"/>
        <v>20315</v>
      </c>
      <c r="Z6" s="11">
        <f t="shared" si="8"/>
        <v>130</v>
      </c>
      <c r="AA6" s="17">
        <f t="shared" ref="AA6:AA49" si="10">Z6</f>
        <v>130</v>
      </c>
      <c r="AB6" s="13"/>
      <c r="AC6" s="18"/>
      <c r="AD6" s="18"/>
      <c r="AE6" s="13">
        <f>U6-W6-X6-Z6-AB6</f>
        <v>20185</v>
      </c>
      <c r="AF6" s="14"/>
    </row>
    <row r="7" spans="1:34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30</v>
      </c>
      <c r="G7" s="7">
        <f t="shared" si="2"/>
        <v>0</v>
      </c>
      <c r="H7" s="7"/>
      <c r="I7" s="7"/>
      <c r="J7" s="7">
        <v>14500</v>
      </c>
      <c r="K7" s="7">
        <f>9500+700</f>
        <v>10200</v>
      </c>
      <c r="L7" s="8">
        <f t="shared" si="3"/>
        <v>340</v>
      </c>
      <c r="M7" s="8">
        <f t="shared" si="9"/>
        <v>143.33333333333334</v>
      </c>
      <c r="N7" s="9">
        <f>2800+1500</f>
        <v>4300</v>
      </c>
      <c r="O7" s="8">
        <f t="shared" si="4"/>
        <v>10200</v>
      </c>
      <c r="P7" s="8">
        <f t="shared" ref="P7:P40" si="11">O7*0.7</f>
        <v>7140</v>
      </c>
      <c r="Q7" s="13">
        <f>O7*0.3</f>
        <v>3060</v>
      </c>
      <c r="R7" s="8">
        <f>(800+1000+1000+1500)/30*F7</f>
        <v>4300</v>
      </c>
      <c r="S7" s="9">
        <f t="shared" si="0"/>
        <v>0</v>
      </c>
      <c r="T7" s="8"/>
      <c r="U7" s="8">
        <f t="shared" si="1"/>
        <v>14500</v>
      </c>
      <c r="V7" s="8">
        <f>P7</f>
        <v>7140</v>
      </c>
      <c r="W7" s="8">
        <f t="shared" ref="W7:W38" si="12">ROUND(IF(V7&lt;=15000,V7*12%,IF(V7&gt;15000,0)),0)</f>
        <v>857</v>
      </c>
      <c r="X7" s="8">
        <f t="shared" si="6"/>
        <v>77</v>
      </c>
      <c r="Y7" s="8">
        <f t="shared" si="7"/>
        <v>13566</v>
      </c>
      <c r="Z7" s="11">
        <f t="shared" si="8"/>
        <v>110</v>
      </c>
      <c r="AA7" s="17">
        <v>110</v>
      </c>
      <c r="AB7" s="8"/>
      <c r="AC7" s="8"/>
      <c r="AD7" s="8"/>
      <c r="AE7" s="13">
        <f>(U7-W7-X7-Z7-AB7)</f>
        <v>13456</v>
      </c>
      <c r="AF7" s="14"/>
    </row>
    <row r="8" spans="1:34" s="35" customFormat="1" ht="18" customHeight="1" x14ac:dyDescent="0.25">
      <c r="A8" s="15">
        <v>6</v>
      </c>
      <c r="B8" s="15">
        <v>6</v>
      </c>
      <c r="C8" s="6" t="s">
        <v>100</v>
      </c>
      <c r="D8" s="6" t="s">
        <v>39</v>
      </c>
      <c r="E8" s="6"/>
      <c r="F8" s="6">
        <v>16</v>
      </c>
      <c r="G8" s="6">
        <v>16</v>
      </c>
      <c r="H8" s="6"/>
      <c r="I8" s="6"/>
      <c r="J8" s="6">
        <v>27000</v>
      </c>
      <c r="K8" s="6">
        <v>15500</v>
      </c>
      <c r="L8" s="13">
        <f t="shared" si="3"/>
        <v>516.66666666666663</v>
      </c>
      <c r="M8" s="13">
        <f t="shared" si="9"/>
        <v>193.33333333333334</v>
      </c>
      <c r="N8" s="16">
        <v>5800</v>
      </c>
      <c r="O8" s="13">
        <f t="shared" si="4"/>
        <v>8266.6666666666661</v>
      </c>
      <c r="P8" s="13">
        <f>O8*1</f>
        <v>8266.6666666666661</v>
      </c>
      <c r="Q8" s="82" t="s">
        <v>54</v>
      </c>
      <c r="R8" s="13">
        <f>(11500)/30*F8</f>
        <v>6133.333333333333</v>
      </c>
      <c r="S8" s="16">
        <f t="shared" si="0"/>
        <v>0</v>
      </c>
      <c r="T8" s="13"/>
      <c r="U8" s="13">
        <f>P8+S8+R8+T8</f>
        <v>14400</v>
      </c>
      <c r="V8" s="13">
        <v>0</v>
      </c>
      <c r="W8" s="13">
        <f>IF(V8&lt;=15000,V8*12%,IF(V8&gt;15000,0))</f>
        <v>0</v>
      </c>
      <c r="X8" s="13">
        <f t="shared" si="6"/>
        <v>0</v>
      </c>
      <c r="Y8" s="13">
        <f t="shared" si="7"/>
        <v>14400</v>
      </c>
      <c r="Z8" s="11">
        <f t="shared" si="8"/>
        <v>110</v>
      </c>
      <c r="AA8" s="17">
        <v>110</v>
      </c>
      <c r="AB8" s="13"/>
      <c r="AC8" s="13"/>
      <c r="AD8" s="13"/>
      <c r="AE8" s="13">
        <f>(U8-W8-X8-Z8-AB8)</f>
        <v>14290</v>
      </c>
      <c r="AF8" s="14"/>
    </row>
    <row r="9" spans="1:34" ht="18" x14ac:dyDescent="0.25">
      <c r="A9" s="15">
        <v>8</v>
      </c>
      <c r="B9" s="15">
        <v>7</v>
      </c>
      <c r="C9" s="6" t="s">
        <v>42</v>
      </c>
      <c r="D9" s="6" t="s">
        <v>31</v>
      </c>
      <c r="E9" s="6"/>
      <c r="F9" s="7">
        <v>30</v>
      </c>
      <c r="G9" s="7">
        <f t="shared" si="2"/>
        <v>0</v>
      </c>
      <c r="H9" s="6"/>
      <c r="I9" s="6"/>
      <c r="J9" s="6">
        <f>30000+2000</f>
        <v>32000</v>
      </c>
      <c r="K9" s="6">
        <v>28000</v>
      </c>
      <c r="L9" s="8">
        <f t="shared" si="3"/>
        <v>933.33333333333337</v>
      </c>
      <c r="M9" s="8">
        <f t="shared" si="9"/>
        <v>133.33333333333334</v>
      </c>
      <c r="N9" s="16">
        <f>2000+2000</f>
        <v>4000</v>
      </c>
      <c r="O9" s="13">
        <f t="shared" si="4"/>
        <v>28000</v>
      </c>
      <c r="P9" s="13">
        <f>O9*1</f>
        <v>28000</v>
      </c>
      <c r="Q9" s="13">
        <f>O9*0</f>
        <v>0</v>
      </c>
      <c r="R9" s="8">
        <f>(2000+2000)/30*F9</f>
        <v>4000.0000000000005</v>
      </c>
      <c r="S9" s="16">
        <f t="shared" si="0"/>
        <v>0</v>
      </c>
      <c r="T9" s="13"/>
      <c r="U9" s="8">
        <f t="shared" si="1"/>
        <v>32000</v>
      </c>
      <c r="V9" s="13">
        <v>0</v>
      </c>
      <c r="W9" s="13">
        <f t="shared" si="12"/>
        <v>0</v>
      </c>
      <c r="X9" s="8">
        <f t="shared" si="6"/>
        <v>0</v>
      </c>
      <c r="Y9" s="8">
        <f t="shared" si="7"/>
        <v>32000</v>
      </c>
      <c r="Z9" s="11">
        <f t="shared" si="8"/>
        <v>150</v>
      </c>
      <c r="AA9" s="17">
        <v>150</v>
      </c>
      <c r="AB9" s="13"/>
      <c r="AC9" s="13"/>
      <c r="AD9" s="13"/>
      <c r="AE9" s="13">
        <f>U9-W9-X9-Z9-AB9-AC9</f>
        <v>31850</v>
      </c>
      <c r="AF9" s="14"/>
    </row>
    <row r="10" spans="1:34" ht="18" x14ac:dyDescent="0.25">
      <c r="A10" s="15">
        <v>9</v>
      </c>
      <c r="B10" s="15">
        <v>8</v>
      </c>
      <c r="C10" s="6" t="s">
        <v>43</v>
      </c>
      <c r="D10" s="6" t="s">
        <v>33</v>
      </c>
      <c r="E10" s="6"/>
      <c r="F10" s="7">
        <v>18</v>
      </c>
      <c r="G10" s="7">
        <f t="shared" si="2"/>
        <v>12</v>
      </c>
      <c r="H10" s="6"/>
      <c r="I10" s="6"/>
      <c r="J10" s="6">
        <v>15500</v>
      </c>
      <c r="K10" s="6">
        <v>11000</v>
      </c>
      <c r="L10" s="8">
        <f t="shared" si="3"/>
        <v>366.66666666666669</v>
      </c>
      <c r="M10" s="8">
        <f t="shared" si="9"/>
        <v>150</v>
      </c>
      <c r="N10" s="16">
        <f>3000+1000+500</f>
        <v>4500</v>
      </c>
      <c r="O10" s="13">
        <f>L10*F10</f>
        <v>6600</v>
      </c>
      <c r="P10" s="13">
        <f t="shared" ref="P10" si="13">O10*0.7</f>
        <v>4620</v>
      </c>
      <c r="Q10" s="13">
        <f t="shared" ref="Q10" si="14">O10*0.3</f>
        <v>1980</v>
      </c>
      <c r="R10" s="8">
        <f>(3000+1000+500)/30*F10</f>
        <v>2700</v>
      </c>
      <c r="S10" s="16">
        <f t="shared" si="0"/>
        <v>0</v>
      </c>
      <c r="T10" s="13"/>
      <c r="U10" s="8">
        <f t="shared" si="1"/>
        <v>9300</v>
      </c>
      <c r="V10" s="13">
        <f t="shared" ref="V10:V37" si="15">P10</f>
        <v>4620</v>
      </c>
      <c r="W10" s="13">
        <f t="shared" si="12"/>
        <v>554</v>
      </c>
      <c r="X10" s="8">
        <f t="shared" si="6"/>
        <v>50</v>
      </c>
      <c r="Y10" s="8">
        <f t="shared" si="7"/>
        <v>8696</v>
      </c>
      <c r="Z10" s="11">
        <f t="shared" si="8"/>
        <v>0</v>
      </c>
      <c r="AA10" s="17">
        <v>130</v>
      </c>
      <c r="AB10" s="13"/>
      <c r="AC10" s="13"/>
      <c r="AD10" s="13"/>
      <c r="AE10" s="13">
        <f t="shared" ref="AE10:AE16" si="16">U10-W10-X10-Z10-AB10</f>
        <v>8696</v>
      </c>
      <c r="AF10" s="14"/>
    </row>
    <row r="11" spans="1:34" s="42" customFormat="1" ht="18" x14ac:dyDescent="0.25">
      <c r="A11" s="19">
        <v>10</v>
      </c>
      <c r="B11" s="19">
        <v>10</v>
      </c>
      <c r="C11" s="20" t="s">
        <v>45</v>
      </c>
      <c r="D11" s="20" t="s">
        <v>46</v>
      </c>
      <c r="E11" s="20"/>
      <c r="F11" s="20">
        <v>30</v>
      </c>
      <c r="G11" s="20">
        <f t="shared" si="2"/>
        <v>0</v>
      </c>
      <c r="H11" s="20">
        <v>1</v>
      </c>
      <c r="I11" s="20"/>
      <c r="J11" s="20">
        <v>19000</v>
      </c>
      <c r="K11" s="20">
        <f>13500+1200+1000</f>
        <v>15700</v>
      </c>
      <c r="L11" s="21">
        <f t="shared" si="3"/>
        <v>523.33333333333337</v>
      </c>
      <c r="M11" s="21">
        <f t="shared" si="9"/>
        <v>110</v>
      </c>
      <c r="N11" s="22">
        <f>1000+1300+1000</f>
        <v>3300</v>
      </c>
      <c r="O11" s="21">
        <f>L11*F11</f>
        <v>15700.000000000002</v>
      </c>
      <c r="P11" s="21">
        <f t="shared" si="11"/>
        <v>10990</v>
      </c>
      <c r="Q11" s="21">
        <f t="shared" ref="Q11:Q38" si="17">O11*0.3</f>
        <v>4710</v>
      </c>
      <c r="R11" s="21">
        <f>(1000+1300+1000)/30*F11</f>
        <v>3300</v>
      </c>
      <c r="S11" s="22">
        <f t="shared" si="0"/>
        <v>633.33333333333337</v>
      </c>
      <c r="T11" s="21"/>
      <c r="U11" s="21">
        <f t="shared" si="1"/>
        <v>19633.333333333336</v>
      </c>
      <c r="V11" s="21">
        <f t="shared" si="15"/>
        <v>10990</v>
      </c>
      <c r="W11" s="21">
        <f t="shared" si="12"/>
        <v>1319</v>
      </c>
      <c r="X11" s="21">
        <f t="shared" si="6"/>
        <v>118</v>
      </c>
      <c r="Y11" s="21">
        <f t="shared" si="7"/>
        <v>18196.333333333336</v>
      </c>
      <c r="Z11" s="23">
        <f t="shared" si="8"/>
        <v>130</v>
      </c>
      <c r="AA11" s="24">
        <v>130</v>
      </c>
      <c r="AB11" s="21">
        <v>1500</v>
      </c>
      <c r="AC11" s="21"/>
      <c r="AD11" s="21"/>
      <c r="AE11" s="21">
        <f t="shared" si="16"/>
        <v>16566.333333333336</v>
      </c>
      <c r="AF11" s="70">
        <f>AE11-700</f>
        <v>15866.333333333336</v>
      </c>
    </row>
    <row r="12" spans="1:34" s="42" customFormat="1" ht="18" x14ac:dyDescent="0.25">
      <c r="A12" s="19">
        <v>11</v>
      </c>
      <c r="B12" s="19">
        <v>11</v>
      </c>
      <c r="C12" s="20" t="s">
        <v>47</v>
      </c>
      <c r="D12" s="20"/>
      <c r="E12" s="20"/>
      <c r="F12" s="20">
        <v>29</v>
      </c>
      <c r="G12" s="20">
        <f t="shared" si="2"/>
        <v>1</v>
      </c>
      <c r="H12" s="20"/>
      <c r="I12" s="20"/>
      <c r="J12" s="20">
        <v>7000</v>
      </c>
      <c r="K12" s="20">
        <f>5500+500</f>
        <v>6000</v>
      </c>
      <c r="L12" s="21">
        <f t="shared" si="3"/>
        <v>200</v>
      </c>
      <c r="M12" s="21">
        <f t="shared" si="9"/>
        <v>33.333333333333336</v>
      </c>
      <c r="N12" s="22">
        <f>500+500</f>
        <v>1000</v>
      </c>
      <c r="O12" s="21">
        <f>L12*F12</f>
        <v>5800</v>
      </c>
      <c r="P12" s="21">
        <f t="shared" si="11"/>
        <v>4059.9999999999995</v>
      </c>
      <c r="Q12" s="21">
        <f t="shared" si="17"/>
        <v>1740</v>
      </c>
      <c r="R12" s="21">
        <f>(500+500)/30*F12</f>
        <v>966.66666666666674</v>
      </c>
      <c r="S12" s="22">
        <f t="shared" si="0"/>
        <v>0</v>
      </c>
      <c r="T12" s="21"/>
      <c r="U12" s="21">
        <f t="shared" si="1"/>
        <v>6766.666666666667</v>
      </c>
      <c r="V12" s="21">
        <f t="shared" si="15"/>
        <v>4059.9999999999995</v>
      </c>
      <c r="W12" s="21">
        <f t="shared" si="12"/>
        <v>487</v>
      </c>
      <c r="X12" s="21">
        <f t="shared" si="6"/>
        <v>44</v>
      </c>
      <c r="Y12" s="21">
        <f t="shared" si="7"/>
        <v>6235.666666666667</v>
      </c>
      <c r="Z12" s="23">
        <f t="shared" si="8"/>
        <v>0</v>
      </c>
      <c r="AA12" s="24">
        <f t="shared" si="10"/>
        <v>0</v>
      </c>
      <c r="AB12" s="21">
        <v>500</v>
      </c>
      <c r="AC12" s="21"/>
      <c r="AD12" s="21"/>
      <c r="AE12" s="21">
        <f t="shared" si="16"/>
        <v>5735.666666666667</v>
      </c>
      <c r="AF12" s="71"/>
    </row>
    <row r="13" spans="1:34" ht="18.75" x14ac:dyDescent="0.3">
      <c r="A13" s="15">
        <v>12</v>
      </c>
      <c r="B13" s="15">
        <v>12</v>
      </c>
      <c r="C13" s="6" t="s">
        <v>48</v>
      </c>
      <c r="D13" s="6"/>
      <c r="E13" s="6"/>
      <c r="F13" s="7">
        <v>27</v>
      </c>
      <c r="G13" s="7">
        <f t="shared" si="2"/>
        <v>3</v>
      </c>
      <c r="H13" s="6"/>
      <c r="I13" s="27" t="s">
        <v>49</v>
      </c>
      <c r="J13" s="27"/>
      <c r="K13" s="6"/>
      <c r="L13" s="13">
        <v>320</v>
      </c>
      <c r="M13" s="16">
        <f>20+15</f>
        <v>35</v>
      </c>
      <c r="N13" s="16"/>
      <c r="O13" s="13">
        <f t="shared" ref="O13:O19" si="18">L13*F13</f>
        <v>8640</v>
      </c>
      <c r="P13" s="13">
        <f t="shared" si="11"/>
        <v>6048</v>
      </c>
      <c r="Q13" s="13">
        <f t="shared" si="17"/>
        <v>2592</v>
      </c>
      <c r="R13" s="13">
        <f>M13*F13</f>
        <v>945</v>
      </c>
      <c r="S13" s="13">
        <f>H13*(L13+M13)</f>
        <v>0</v>
      </c>
      <c r="T13" s="13"/>
      <c r="U13" s="8">
        <f t="shared" si="1"/>
        <v>9585</v>
      </c>
      <c r="V13" s="13">
        <f t="shared" si="15"/>
        <v>6048</v>
      </c>
      <c r="W13" s="13">
        <f t="shared" si="12"/>
        <v>726</v>
      </c>
      <c r="X13" s="8">
        <f t="shared" si="6"/>
        <v>65</v>
      </c>
      <c r="Y13" s="8">
        <f t="shared" si="7"/>
        <v>8794</v>
      </c>
      <c r="Z13" s="11">
        <f t="shared" si="8"/>
        <v>0</v>
      </c>
      <c r="AA13" s="17"/>
      <c r="AB13" s="13"/>
      <c r="AC13" s="13"/>
      <c r="AD13" s="13"/>
      <c r="AE13" s="13">
        <f>U13-W13-X13-Z13-AB13-AC13</f>
        <v>8794</v>
      </c>
      <c r="AF13" s="14"/>
      <c r="AG13" s="72"/>
      <c r="AH13" s="73"/>
    </row>
    <row r="14" spans="1:34" ht="18.75" x14ac:dyDescent="0.3">
      <c r="A14" s="28">
        <v>13</v>
      </c>
      <c r="B14" s="28">
        <v>13</v>
      </c>
      <c r="C14" s="29" t="s">
        <v>50</v>
      </c>
      <c r="D14" s="29" t="s">
        <v>51</v>
      </c>
      <c r="E14" s="29"/>
      <c r="F14" s="7">
        <v>28</v>
      </c>
      <c r="G14" s="7">
        <f t="shared" si="2"/>
        <v>2</v>
      </c>
      <c r="H14" s="29"/>
      <c r="I14" s="29"/>
      <c r="J14" s="29">
        <v>6800</v>
      </c>
      <c r="K14" s="29">
        <f>6500</f>
        <v>6500</v>
      </c>
      <c r="L14" s="30">
        <f>K14/30</f>
        <v>216.66666666666666</v>
      </c>
      <c r="M14" s="30">
        <f>N14/30</f>
        <v>10</v>
      </c>
      <c r="N14" s="31">
        <v>300</v>
      </c>
      <c r="O14" s="30">
        <f t="shared" si="18"/>
        <v>6066.6666666666661</v>
      </c>
      <c r="P14" s="30">
        <f t="shared" si="11"/>
        <v>4246.6666666666661</v>
      </c>
      <c r="Q14" s="30">
        <f t="shared" si="17"/>
        <v>1819.9999999999998</v>
      </c>
      <c r="R14" s="30">
        <f>300/30*F14</f>
        <v>280</v>
      </c>
      <c r="S14" s="31">
        <f t="shared" si="0"/>
        <v>0</v>
      </c>
      <c r="T14" s="30"/>
      <c r="U14" s="8">
        <f t="shared" si="1"/>
        <v>6346.6666666666661</v>
      </c>
      <c r="V14" s="30">
        <f t="shared" si="15"/>
        <v>4246.6666666666661</v>
      </c>
      <c r="W14" s="30">
        <f t="shared" si="12"/>
        <v>510</v>
      </c>
      <c r="X14" s="8">
        <f t="shared" si="6"/>
        <v>46</v>
      </c>
      <c r="Y14" s="8">
        <f t="shared" si="7"/>
        <v>5790.6666666666661</v>
      </c>
      <c r="Z14" s="11">
        <f t="shared" si="8"/>
        <v>0</v>
      </c>
      <c r="AA14" s="32">
        <f t="shared" si="10"/>
        <v>0</v>
      </c>
      <c r="AB14" s="30"/>
      <c r="AC14" s="30"/>
      <c r="AD14" s="30"/>
      <c r="AE14" s="30">
        <f t="shared" si="16"/>
        <v>5790.6666666666661</v>
      </c>
      <c r="AF14" s="14"/>
      <c r="AG14" s="72"/>
      <c r="AH14" s="73"/>
    </row>
    <row r="15" spans="1:34" ht="18.75" x14ac:dyDescent="0.3">
      <c r="A15" s="15">
        <v>14</v>
      </c>
      <c r="B15" s="15">
        <v>14</v>
      </c>
      <c r="C15" s="6" t="s">
        <v>52</v>
      </c>
      <c r="D15" s="6" t="s">
        <v>51</v>
      </c>
      <c r="E15" s="6"/>
      <c r="F15" s="7">
        <v>29</v>
      </c>
      <c r="G15" s="7">
        <f t="shared" si="2"/>
        <v>1</v>
      </c>
      <c r="H15" s="6"/>
      <c r="I15" s="27" t="s">
        <v>53</v>
      </c>
      <c r="J15" s="27"/>
      <c r="K15" s="6"/>
      <c r="L15" s="13">
        <v>320</v>
      </c>
      <c r="M15" s="16">
        <v>15</v>
      </c>
      <c r="N15" s="16"/>
      <c r="O15" s="13">
        <f t="shared" si="18"/>
        <v>9280</v>
      </c>
      <c r="P15" s="13">
        <f t="shared" si="11"/>
        <v>6496</v>
      </c>
      <c r="Q15" s="13">
        <f t="shared" si="17"/>
        <v>2784</v>
      </c>
      <c r="R15" s="13">
        <f>15*F15</f>
        <v>435</v>
      </c>
      <c r="S15" s="13">
        <f t="shared" ref="S15:S50" si="19">H15*(L15+M15)</f>
        <v>0</v>
      </c>
      <c r="T15" s="13"/>
      <c r="U15" s="8">
        <f t="shared" si="1"/>
        <v>9715</v>
      </c>
      <c r="V15" s="13">
        <f t="shared" si="15"/>
        <v>6496</v>
      </c>
      <c r="W15" s="13">
        <f t="shared" si="12"/>
        <v>780</v>
      </c>
      <c r="X15" s="8">
        <f t="shared" si="6"/>
        <v>70</v>
      </c>
      <c r="Y15" s="8">
        <f t="shared" si="7"/>
        <v>8865</v>
      </c>
      <c r="Z15" s="11">
        <f t="shared" si="8"/>
        <v>0</v>
      </c>
      <c r="AA15" s="17" t="s">
        <v>54</v>
      </c>
      <c r="AB15" s="13"/>
      <c r="AC15" s="13"/>
      <c r="AD15" s="13"/>
      <c r="AE15" s="13">
        <f t="shared" si="16"/>
        <v>8865</v>
      </c>
      <c r="AF15" s="14"/>
      <c r="AG15" s="72"/>
      <c r="AH15" s="73"/>
    </row>
    <row r="16" spans="1:34" ht="18.75" x14ac:dyDescent="0.3">
      <c r="A16" s="15">
        <v>15</v>
      </c>
      <c r="B16" s="15">
        <v>15</v>
      </c>
      <c r="C16" s="6" t="s">
        <v>55</v>
      </c>
      <c r="D16" s="6" t="s">
        <v>51</v>
      </c>
      <c r="E16" s="6"/>
      <c r="F16" s="7">
        <v>11</v>
      </c>
      <c r="G16" s="7">
        <f t="shared" si="2"/>
        <v>19</v>
      </c>
      <c r="H16" s="6"/>
      <c r="I16" s="27" t="s">
        <v>53</v>
      </c>
      <c r="J16" s="27"/>
      <c r="K16" s="6"/>
      <c r="L16" s="13">
        <v>320</v>
      </c>
      <c r="M16" s="16">
        <v>15</v>
      </c>
      <c r="N16" s="16"/>
      <c r="O16" s="13">
        <f t="shared" si="18"/>
        <v>3520</v>
      </c>
      <c r="P16" s="13">
        <f t="shared" si="11"/>
        <v>2464</v>
      </c>
      <c r="Q16" s="13">
        <f t="shared" si="17"/>
        <v>1056</v>
      </c>
      <c r="R16" s="13">
        <f>15*F16</f>
        <v>165</v>
      </c>
      <c r="S16" s="13">
        <f t="shared" si="19"/>
        <v>0</v>
      </c>
      <c r="T16" s="13"/>
      <c r="U16" s="8">
        <f t="shared" si="1"/>
        <v>3685</v>
      </c>
      <c r="V16" s="13">
        <f t="shared" si="15"/>
        <v>2464</v>
      </c>
      <c r="W16" s="13">
        <f t="shared" si="12"/>
        <v>296</v>
      </c>
      <c r="X16" s="8">
        <f t="shared" si="6"/>
        <v>27</v>
      </c>
      <c r="Y16" s="8">
        <f t="shared" si="7"/>
        <v>3362</v>
      </c>
      <c r="Z16" s="11">
        <f t="shared" si="8"/>
        <v>0</v>
      </c>
      <c r="AA16" s="17" t="s">
        <v>54</v>
      </c>
      <c r="AB16" s="13"/>
      <c r="AC16" s="13"/>
      <c r="AD16" s="13"/>
      <c r="AE16" s="13">
        <f t="shared" si="16"/>
        <v>3362</v>
      </c>
      <c r="AF16" s="14"/>
      <c r="AG16" s="72"/>
      <c r="AH16" s="73"/>
    </row>
    <row r="17" spans="1:34" ht="18.75" x14ac:dyDescent="0.3">
      <c r="A17" s="15">
        <v>19</v>
      </c>
      <c r="B17" s="15">
        <v>16</v>
      </c>
      <c r="C17" s="6" t="s">
        <v>56</v>
      </c>
      <c r="D17" s="6"/>
      <c r="E17" s="6"/>
      <c r="F17" s="7">
        <v>16</v>
      </c>
      <c r="G17" s="7">
        <f t="shared" si="2"/>
        <v>14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8"/>
        <v>5120</v>
      </c>
      <c r="P17" s="13">
        <f t="shared" si="11"/>
        <v>3584</v>
      </c>
      <c r="Q17" s="13">
        <f t="shared" si="17"/>
        <v>1536</v>
      </c>
      <c r="R17" s="13">
        <f>15*F17</f>
        <v>240</v>
      </c>
      <c r="S17" s="13">
        <f t="shared" si="19"/>
        <v>0</v>
      </c>
      <c r="T17" s="13"/>
      <c r="U17" s="8">
        <f t="shared" si="1"/>
        <v>5360</v>
      </c>
      <c r="V17" s="13">
        <f t="shared" si="15"/>
        <v>3584</v>
      </c>
      <c r="W17" s="13">
        <f t="shared" si="12"/>
        <v>430</v>
      </c>
      <c r="X17" s="8">
        <f t="shared" si="6"/>
        <v>39</v>
      </c>
      <c r="Y17" s="8">
        <f t="shared" si="7"/>
        <v>4891</v>
      </c>
      <c r="Z17" s="11">
        <f t="shared" si="8"/>
        <v>0</v>
      </c>
      <c r="AA17" s="17">
        <v>0</v>
      </c>
      <c r="AB17" s="13"/>
      <c r="AC17" s="13"/>
      <c r="AD17" s="13"/>
      <c r="AE17" s="30">
        <f>U17-W17-X17-Z17-AB17-AC17</f>
        <v>4891</v>
      </c>
      <c r="AF17" s="14"/>
      <c r="AG17" s="72"/>
      <c r="AH17" s="73"/>
    </row>
    <row r="18" spans="1:34" s="35" customFormat="1" ht="18.75" x14ac:dyDescent="0.3">
      <c r="A18" s="15">
        <v>20</v>
      </c>
      <c r="B18" s="15">
        <v>17</v>
      </c>
      <c r="C18" s="6" t="s">
        <v>57</v>
      </c>
      <c r="D18" s="6"/>
      <c r="E18" s="6"/>
      <c r="F18" s="6">
        <v>27</v>
      </c>
      <c r="G18" s="6">
        <f t="shared" si="2"/>
        <v>3</v>
      </c>
      <c r="H18" s="6"/>
      <c r="I18" s="27" t="s">
        <v>58</v>
      </c>
      <c r="J18" s="27"/>
      <c r="K18" s="6"/>
      <c r="L18" s="13">
        <v>320</v>
      </c>
      <c r="M18" s="16">
        <f>65+15</f>
        <v>80</v>
      </c>
      <c r="N18" s="16"/>
      <c r="O18" s="13">
        <f t="shared" si="18"/>
        <v>8640</v>
      </c>
      <c r="P18" s="13">
        <f t="shared" si="11"/>
        <v>6048</v>
      </c>
      <c r="Q18" s="13">
        <f t="shared" si="17"/>
        <v>2592</v>
      </c>
      <c r="R18" s="13">
        <f>(65+15)*F18</f>
        <v>2160</v>
      </c>
      <c r="S18" s="13">
        <f>H18*(L18+M18)+615</f>
        <v>615</v>
      </c>
      <c r="T18" s="13"/>
      <c r="U18" s="13">
        <f t="shared" si="1"/>
        <v>11415</v>
      </c>
      <c r="V18" s="13">
        <f t="shared" si="15"/>
        <v>6048</v>
      </c>
      <c r="W18" s="13">
        <f t="shared" si="12"/>
        <v>726</v>
      </c>
      <c r="X18" s="13">
        <f t="shared" si="6"/>
        <v>65</v>
      </c>
      <c r="Y18" s="13">
        <f t="shared" si="7"/>
        <v>10624</v>
      </c>
      <c r="Z18" s="11">
        <f t="shared" si="8"/>
        <v>110</v>
      </c>
      <c r="AA18" s="17">
        <f>Z18</f>
        <v>110</v>
      </c>
      <c r="AB18" s="13"/>
      <c r="AC18" s="13"/>
      <c r="AD18" s="13"/>
      <c r="AE18" s="13">
        <f>U18-W18-X18-Z18-AB18</f>
        <v>10514</v>
      </c>
      <c r="AF18" s="14">
        <v>9497</v>
      </c>
      <c r="AG18" s="77"/>
      <c r="AH18" s="74"/>
    </row>
    <row r="19" spans="1:34" ht="18.75" x14ac:dyDescent="0.3">
      <c r="A19" s="15">
        <v>21</v>
      </c>
      <c r="B19" s="15">
        <v>18</v>
      </c>
      <c r="C19" s="33" t="s">
        <v>59</v>
      </c>
      <c r="D19" s="6"/>
      <c r="E19" s="6"/>
      <c r="F19" s="7">
        <v>26</v>
      </c>
      <c r="G19" s="7">
        <f t="shared" si="2"/>
        <v>4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8"/>
        <v>8320</v>
      </c>
      <c r="P19" s="13">
        <f t="shared" si="11"/>
        <v>5824</v>
      </c>
      <c r="Q19" s="13">
        <f t="shared" si="17"/>
        <v>2496</v>
      </c>
      <c r="R19" s="13">
        <f>15*F19</f>
        <v>390</v>
      </c>
      <c r="S19" s="13">
        <f t="shared" si="19"/>
        <v>0</v>
      </c>
      <c r="T19" s="13"/>
      <c r="U19" s="8">
        <f t="shared" si="1"/>
        <v>8710</v>
      </c>
      <c r="V19" s="13">
        <f t="shared" si="15"/>
        <v>5824</v>
      </c>
      <c r="W19" s="13">
        <f t="shared" si="12"/>
        <v>699</v>
      </c>
      <c r="X19" s="8">
        <f t="shared" si="6"/>
        <v>63</v>
      </c>
      <c r="Y19" s="8">
        <f t="shared" si="7"/>
        <v>7948</v>
      </c>
      <c r="Z19" s="11">
        <f t="shared" si="8"/>
        <v>0</v>
      </c>
      <c r="AA19" s="17"/>
      <c r="AB19" s="13"/>
      <c r="AC19" s="13"/>
      <c r="AD19" s="13"/>
      <c r="AE19" s="13">
        <f>U19-W19-X19-Z19-AB19-AC19</f>
        <v>7948</v>
      </c>
      <c r="AF19" s="14"/>
      <c r="AG19" s="72"/>
      <c r="AH19" s="73"/>
    </row>
    <row r="20" spans="1:34" s="35" customFormat="1" ht="18.75" x14ac:dyDescent="0.3">
      <c r="A20" s="28">
        <v>22</v>
      </c>
      <c r="B20" s="28">
        <v>19</v>
      </c>
      <c r="C20" s="29" t="s">
        <v>60</v>
      </c>
      <c r="D20" s="29" t="s">
        <v>51</v>
      </c>
      <c r="E20" s="29"/>
      <c r="F20" s="6">
        <v>27</v>
      </c>
      <c r="G20" s="7">
        <f t="shared" si="2"/>
        <v>3</v>
      </c>
      <c r="H20" s="29">
        <v>3</v>
      </c>
      <c r="I20" s="34" t="s">
        <v>49</v>
      </c>
      <c r="J20" s="34"/>
      <c r="K20" s="29"/>
      <c r="L20" s="30">
        <v>220</v>
      </c>
      <c r="M20" s="31">
        <v>10</v>
      </c>
      <c r="N20" s="31"/>
      <c r="O20" s="30">
        <f>L20*F20</f>
        <v>5940</v>
      </c>
      <c r="P20" s="30">
        <f t="shared" si="11"/>
        <v>4158</v>
      </c>
      <c r="Q20" s="30">
        <f t="shared" si="17"/>
        <v>1782</v>
      </c>
      <c r="R20" s="30">
        <f>10*F20</f>
        <v>270</v>
      </c>
      <c r="S20" s="30">
        <f t="shared" si="19"/>
        <v>690</v>
      </c>
      <c r="T20" s="30"/>
      <c r="U20" s="13">
        <f t="shared" si="1"/>
        <v>6900</v>
      </c>
      <c r="V20" s="30">
        <f t="shared" si="15"/>
        <v>4158</v>
      </c>
      <c r="W20" s="30">
        <f t="shared" si="12"/>
        <v>499</v>
      </c>
      <c r="X20" s="13">
        <f t="shared" si="6"/>
        <v>45</v>
      </c>
      <c r="Y20" s="13">
        <f t="shared" si="7"/>
        <v>6356</v>
      </c>
      <c r="Z20" s="11">
        <f t="shared" si="8"/>
        <v>0</v>
      </c>
      <c r="AA20" s="32"/>
      <c r="AB20" s="30"/>
      <c r="AC20" s="30"/>
      <c r="AD20" s="30"/>
      <c r="AE20" s="30">
        <f t="shared" ref="AE20:AE39" si="20">U20-W20-X20-Z20-AB20</f>
        <v>6356</v>
      </c>
      <c r="AF20" s="14"/>
      <c r="AG20" s="77"/>
      <c r="AH20" s="74"/>
    </row>
    <row r="21" spans="1:34" s="35" customFormat="1" ht="18.75" x14ac:dyDescent="0.3">
      <c r="A21" s="15">
        <v>23</v>
      </c>
      <c r="B21" s="15">
        <v>20</v>
      </c>
      <c r="C21" s="36" t="s">
        <v>61</v>
      </c>
      <c r="D21" s="6" t="s">
        <v>51</v>
      </c>
      <c r="E21" s="6"/>
      <c r="F21" s="6">
        <v>29</v>
      </c>
      <c r="G21" s="7">
        <f t="shared" si="2"/>
        <v>1</v>
      </c>
      <c r="H21" s="6">
        <v>5</v>
      </c>
      <c r="I21" s="27" t="s">
        <v>58</v>
      </c>
      <c r="J21" s="27"/>
      <c r="K21" s="6"/>
      <c r="L21" s="13">
        <v>220</v>
      </c>
      <c r="M21" s="16">
        <v>10</v>
      </c>
      <c r="N21" s="16"/>
      <c r="O21" s="13">
        <f t="shared" si="4"/>
        <v>6380</v>
      </c>
      <c r="P21" s="13">
        <f t="shared" si="11"/>
        <v>4466</v>
      </c>
      <c r="Q21" s="13">
        <f t="shared" si="17"/>
        <v>1914</v>
      </c>
      <c r="R21" s="13">
        <f>10*F21</f>
        <v>290</v>
      </c>
      <c r="S21" s="13">
        <f t="shared" si="19"/>
        <v>1150</v>
      </c>
      <c r="T21" s="13"/>
      <c r="U21" s="13">
        <f t="shared" si="1"/>
        <v>7820</v>
      </c>
      <c r="V21" s="13">
        <f t="shared" si="15"/>
        <v>4466</v>
      </c>
      <c r="W21" s="13">
        <f t="shared" si="12"/>
        <v>536</v>
      </c>
      <c r="X21" s="13">
        <f t="shared" si="6"/>
        <v>48</v>
      </c>
      <c r="Y21" s="13">
        <f t="shared" si="7"/>
        <v>7236</v>
      </c>
      <c r="Z21" s="11">
        <f t="shared" si="8"/>
        <v>0</v>
      </c>
      <c r="AA21" s="17">
        <v>110</v>
      </c>
      <c r="AB21" s="13"/>
      <c r="AC21" s="13"/>
      <c r="AD21" s="13"/>
      <c r="AE21" s="13">
        <f t="shared" si="20"/>
        <v>7236</v>
      </c>
      <c r="AF21" s="14"/>
      <c r="AG21" s="77"/>
      <c r="AH21" s="74"/>
    </row>
    <row r="22" spans="1:34" s="35" customFormat="1" ht="18.75" x14ac:dyDescent="0.3">
      <c r="A22" s="15">
        <v>24</v>
      </c>
      <c r="B22" s="15">
        <v>21</v>
      </c>
      <c r="C22" s="6" t="s">
        <v>62</v>
      </c>
      <c r="D22" s="6"/>
      <c r="E22" s="6"/>
      <c r="F22" s="6">
        <v>15</v>
      </c>
      <c r="G22" s="7">
        <f t="shared" si="2"/>
        <v>15</v>
      </c>
      <c r="H22" s="6"/>
      <c r="I22" s="27" t="s">
        <v>58</v>
      </c>
      <c r="J22" s="27"/>
      <c r="K22" s="6"/>
      <c r="L22" s="13">
        <v>335</v>
      </c>
      <c r="M22" s="16">
        <f>25+25+15</f>
        <v>65</v>
      </c>
      <c r="N22" s="16"/>
      <c r="O22" s="13">
        <f t="shared" si="4"/>
        <v>5025</v>
      </c>
      <c r="P22" s="13">
        <f t="shared" si="11"/>
        <v>3517.5</v>
      </c>
      <c r="Q22" s="13">
        <f t="shared" si="17"/>
        <v>1507.5</v>
      </c>
      <c r="R22" s="13">
        <f>M22*F22</f>
        <v>975</v>
      </c>
      <c r="S22" s="13">
        <f t="shared" ref="S22:S37" si="21">H22*(L22+M22)</f>
        <v>0</v>
      </c>
      <c r="T22" s="13"/>
      <c r="U22" s="13">
        <f t="shared" si="1"/>
        <v>6000</v>
      </c>
      <c r="V22" s="13">
        <f t="shared" si="15"/>
        <v>3517.5</v>
      </c>
      <c r="W22" s="13">
        <f t="shared" si="12"/>
        <v>422</v>
      </c>
      <c r="X22" s="13">
        <f t="shared" si="6"/>
        <v>38</v>
      </c>
      <c r="Y22" s="13">
        <f t="shared" si="7"/>
        <v>5540</v>
      </c>
      <c r="Z22" s="11">
        <f t="shared" si="8"/>
        <v>0</v>
      </c>
      <c r="AA22" s="17"/>
      <c r="AB22" s="13"/>
      <c r="AC22" s="13"/>
      <c r="AD22" s="13"/>
      <c r="AE22" s="13">
        <f>U22-W22-X22-Z22-AB22-AC22</f>
        <v>5540</v>
      </c>
      <c r="AF22" s="14"/>
      <c r="AG22" s="77"/>
      <c r="AH22" s="74"/>
    </row>
    <row r="23" spans="1:34" ht="18.75" x14ac:dyDescent="0.3">
      <c r="A23" s="15">
        <v>25</v>
      </c>
      <c r="B23" s="15">
        <v>22</v>
      </c>
      <c r="C23" s="6" t="s">
        <v>63</v>
      </c>
      <c r="D23" s="6" t="s">
        <v>51</v>
      </c>
      <c r="E23" s="6"/>
      <c r="F23" s="7">
        <v>27</v>
      </c>
      <c r="G23" s="7">
        <f t="shared" si="2"/>
        <v>3</v>
      </c>
      <c r="H23" s="6"/>
      <c r="I23" s="27" t="s">
        <v>58</v>
      </c>
      <c r="J23" s="27"/>
      <c r="K23" s="6"/>
      <c r="L23" s="13">
        <v>335</v>
      </c>
      <c r="M23" s="16">
        <f>25+25+15</f>
        <v>65</v>
      </c>
      <c r="N23" s="16"/>
      <c r="O23" s="13">
        <f t="shared" si="4"/>
        <v>9045</v>
      </c>
      <c r="P23" s="13">
        <f t="shared" si="11"/>
        <v>6331.5</v>
      </c>
      <c r="Q23" s="13">
        <f t="shared" si="17"/>
        <v>2713.5</v>
      </c>
      <c r="R23" s="13">
        <f>M23*F23</f>
        <v>1755</v>
      </c>
      <c r="S23" s="13">
        <f t="shared" si="21"/>
        <v>0</v>
      </c>
      <c r="T23" s="13"/>
      <c r="U23" s="8">
        <f t="shared" si="1"/>
        <v>10800</v>
      </c>
      <c r="V23" s="13">
        <f t="shared" si="15"/>
        <v>6331.5</v>
      </c>
      <c r="W23" s="13">
        <f t="shared" si="12"/>
        <v>760</v>
      </c>
      <c r="X23" s="8">
        <f t="shared" si="6"/>
        <v>68</v>
      </c>
      <c r="Y23" s="8">
        <f t="shared" si="7"/>
        <v>9972</v>
      </c>
      <c r="Z23" s="11">
        <f t="shared" si="8"/>
        <v>110</v>
      </c>
      <c r="AA23" s="17">
        <v>110</v>
      </c>
      <c r="AB23" s="13"/>
      <c r="AC23" s="13"/>
      <c r="AD23" s="13"/>
      <c r="AE23" s="13">
        <f t="shared" si="20"/>
        <v>9862</v>
      </c>
      <c r="AF23" s="14"/>
      <c r="AG23" s="72"/>
      <c r="AH23" s="73"/>
    </row>
    <row r="24" spans="1:34" ht="18.75" x14ac:dyDescent="0.3">
      <c r="A24" s="15">
        <v>26</v>
      </c>
      <c r="B24" s="15">
        <v>23</v>
      </c>
      <c r="C24" s="6" t="s">
        <v>64</v>
      </c>
      <c r="D24" s="6" t="s">
        <v>51</v>
      </c>
      <c r="E24" s="6"/>
      <c r="F24" s="7">
        <v>25</v>
      </c>
      <c r="G24" s="7">
        <f t="shared" si="2"/>
        <v>5</v>
      </c>
      <c r="H24" s="6"/>
      <c r="I24" s="27" t="s">
        <v>65</v>
      </c>
      <c r="J24" s="27"/>
      <c r="K24" s="6"/>
      <c r="L24" s="13">
        <v>335</v>
      </c>
      <c r="M24" s="16">
        <f>25+10+15</f>
        <v>50</v>
      </c>
      <c r="N24" s="16"/>
      <c r="O24" s="13">
        <f>L24*F24</f>
        <v>8375</v>
      </c>
      <c r="P24" s="13">
        <f t="shared" si="11"/>
        <v>5862.5</v>
      </c>
      <c r="Q24" s="13">
        <f t="shared" si="17"/>
        <v>2512.5</v>
      </c>
      <c r="R24" s="13">
        <f t="shared" ref="R24:R37" si="22">M24*F24</f>
        <v>1250</v>
      </c>
      <c r="S24" s="13">
        <f t="shared" si="21"/>
        <v>0</v>
      </c>
      <c r="T24" s="13"/>
      <c r="U24" s="8">
        <f t="shared" si="1"/>
        <v>9625</v>
      </c>
      <c r="V24" s="13">
        <f t="shared" si="15"/>
        <v>5862.5</v>
      </c>
      <c r="W24" s="13">
        <f t="shared" si="12"/>
        <v>704</v>
      </c>
      <c r="X24" s="8">
        <f t="shared" si="6"/>
        <v>63</v>
      </c>
      <c r="Y24" s="8">
        <f t="shared" si="7"/>
        <v>8858</v>
      </c>
      <c r="Z24" s="11">
        <f t="shared" si="8"/>
        <v>0</v>
      </c>
      <c r="AA24" s="17">
        <f t="shared" si="10"/>
        <v>0</v>
      </c>
      <c r="AB24" s="13"/>
      <c r="AC24" s="13"/>
      <c r="AD24" s="13"/>
      <c r="AE24" s="13">
        <f t="shared" si="20"/>
        <v>8858</v>
      </c>
      <c r="AF24" s="26"/>
      <c r="AG24" s="72"/>
      <c r="AH24" s="73"/>
    </row>
    <row r="25" spans="1:34" s="35" customFormat="1" ht="18.75" x14ac:dyDescent="0.3">
      <c r="A25" s="15">
        <v>27</v>
      </c>
      <c r="B25" s="15">
        <v>24</v>
      </c>
      <c r="C25" s="6" t="s">
        <v>66</v>
      </c>
      <c r="D25" s="6" t="s">
        <v>51</v>
      </c>
      <c r="E25" s="6"/>
      <c r="F25" s="6">
        <v>29</v>
      </c>
      <c r="G25" s="6">
        <f t="shared" si="2"/>
        <v>1</v>
      </c>
      <c r="H25" s="6"/>
      <c r="I25" s="27" t="s">
        <v>58</v>
      </c>
      <c r="J25" s="27"/>
      <c r="K25" s="6"/>
      <c r="L25" s="13">
        <v>325</v>
      </c>
      <c r="M25" s="16">
        <f>35+25+15</f>
        <v>75</v>
      </c>
      <c r="N25" s="16"/>
      <c r="O25" s="13">
        <f t="shared" ref="O25:O40" si="23">L25*F25</f>
        <v>9425</v>
      </c>
      <c r="P25" s="13">
        <f t="shared" si="11"/>
        <v>6597.5</v>
      </c>
      <c r="Q25" s="13">
        <f t="shared" si="17"/>
        <v>2827.5</v>
      </c>
      <c r="R25" s="13">
        <f t="shared" si="22"/>
        <v>2175</v>
      </c>
      <c r="S25" s="13">
        <f t="shared" si="21"/>
        <v>0</v>
      </c>
      <c r="T25" s="13"/>
      <c r="U25" s="13">
        <f t="shared" si="1"/>
        <v>11600</v>
      </c>
      <c r="V25" s="13">
        <f t="shared" si="15"/>
        <v>6597.5</v>
      </c>
      <c r="W25" s="13">
        <f t="shared" si="12"/>
        <v>792</v>
      </c>
      <c r="X25" s="13">
        <f t="shared" si="6"/>
        <v>71</v>
      </c>
      <c r="Y25" s="13">
        <f t="shared" si="7"/>
        <v>10737</v>
      </c>
      <c r="Z25" s="11">
        <f t="shared" si="8"/>
        <v>110</v>
      </c>
      <c r="AA25" s="17">
        <v>110</v>
      </c>
      <c r="AB25" s="13"/>
      <c r="AC25" s="13"/>
      <c r="AD25" s="13"/>
      <c r="AE25" s="13">
        <f t="shared" si="20"/>
        <v>10627</v>
      </c>
      <c r="AF25" s="37"/>
      <c r="AG25" s="77"/>
      <c r="AH25" s="74"/>
    </row>
    <row r="26" spans="1:34" ht="18.75" x14ac:dyDescent="0.3">
      <c r="A26" s="15">
        <v>28</v>
      </c>
      <c r="B26" s="15">
        <v>25</v>
      </c>
      <c r="C26" s="6" t="s">
        <v>67</v>
      </c>
      <c r="D26" s="6" t="s">
        <v>51</v>
      </c>
      <c r="E26" s="6"/>
      <c r="F26" s="7">
        <v>29</v>
      </c>
      <c r="G26" s="7">
        <f t="shared" si="2"/>
        <v>1</v>
      </c>
      <c r="H26" s="6"/>
      <c r="I26" s="27" t="s">
        <v>58</v>
      </c>
      <c r="J26" s="27"/>
      <c r="K26" s="6"/>
      <c r="L26" s="13">
        <v>335</v>
      </c>
      <c r="M26" s="16">
        <f>25+25+15</f>
        <v>65</v>
      </c>
      <c r="N26" s="16"/>
      <c r="O26" s="13">
        <f t="shared" si="23"/>
        <v>9715</v>
      </c>
      <c r="P26" s="13">
        <f>O26*0.7</f>
        <v>6800.5</v>
      </c>
      <c r="Q26" s="13">
        <f t="shared" si="17"/>
        <v>2914.5</v>
      </c>
      <c r="R26" s="13">
        <f t="shared" si="22"/>
        <v>1885</v>
      </c>
      <c r="S26" s="13">
        <f t="shared" si="21"/>
        <v>0</v>
      </c>
      <c r="T26" s="13"/>
      <c r="U26" s="8">
        <f t="shared" si="1"/>
        <v>11600</v>
      </c>
      <c r="V26" s="13">
        <f t="shared" si="15"/>
        <v>6800.5</v>
      </c>
      <c r="W26" s="13">
        <f t="shared" si="12"/>
        <v>816</v>
      </c>
      <c r="X26" s="8">
        <f t="shared" si="6"/>
        <v>73</v>
      </c>
      <c r="Y26" s="8">
        <f t="shared" si="7"/>
        <v>10711</v>
      </c>
      <c r="Z26" s="11">
        <f t="shared" si="8"/>
        <v>110</v>
      </c>
      <c r="AA26" s="17">
        <v>110</v>
      </c>
      <c r="AB26" s="13"/>
      <c r="AC26" s="13"/>
      <c r="AD26" s="13"/>
      <c r="AE26" s="13">
        <f t="shared" si="20"/>
        <v>10601</v>
      </c>
      <c r="AF26" s="37"/>
      <c r="AG26" s="72"/>
      <c r="AH26" s="73"/>
    </row>
    <row r="27" spans="1:34" ht="18.75" x14ac:dyDescent="0.3">
      <c r="A27" s="15">
        <v>29</v>
      </c>
      <c r="B27" s="15">
        <v>26</v>
      </c>
      <c r="C27" s="6" t="s">
        <v>68</v>
      </c>
      <c r="D27" s="6" t="s">
        <v>51</v>
      </c>
      <c r="E27" s="6"/>
      <c r="F27" s="7">
        <v>27</v>
      </c>
      <c r="G27" s="7">
        <f t="shared" si="2"/>
        <v>3</v>
      </c>
      <c r="H27" s="6"/>
      <c r="I27" s="27" t="s">
        <v>58</v>
      </c>
      <c r="J27" s="27"/>
      <c r="K27" s="6"/>
      <c r="L27" s="13">
        <v>325</v>
      </c>
      <c r="M27" s="16">
        <f>15+45+15</f>
        <v>75</v>
      </c>
      <c r="N27" s="16"/>
      <c r="O27" s="13">
        <f t="shared" si="23"/>
        <v>8775</v>
      </c>
      <c r="P27" s="13">
        <f t="shared" ref="P27:P37" si="24">O27*0.7</f>
        <v>6142.5</v>
      </c>
      <c r="Q27" s="13">
        <f t="shared" si="17"/>
        <v>2632.5</v>
      </c>
      <c r="R27" s="13">
        <f t="shared" si="22"/>
        <v>2025</v>
      </c>
      <c r="S27" s="13">
        <f t="shared" si="21"/>
        <v>0</v>
      </c>
      <c r="T27" s="13"/>
      <c r="U27" s="8">
        <f t="shared" si="1"/>
        <v>10800</v>
      </c>
      <c r="V27" s="13">
        <f t="shared" si="15"/>
        <v>6142.5</v>
      </c>
      <c r="W27" s="13">
        <f t="shared" si="12"/>
        <v>737</v>
      </c>
      <c r="X27" s="8">
        <f t="shared" si="6"/>
        <v>66</v>
      </c>
      <c r="Y27" s="8">
        <f t="shared" si="7"/>
        <v>9997</v>
      </c>
      <c r="Z27" s="11">
        <f t="shared" si="8"/>
        <v>110</v>
      </c>
      <c r="AA27" s="17">
        <f t="shared" si="10"/>
        <v>110</v>
      </c>
      <c r="AB27" s="13"/>
      <c r="AC27" s="13"/>
      <c r="AD27" s="13"/>
      <c r="AE27" s="13">
        <f t="shared" si="20"/>
        <v>9887</v>
      </c>
      <c r="AF27" s="37"/>
      <c r="AG27" s="72"/>
      <c r="AH27" s="73"/>
    </row>
    <row r="28" spans="1:34" ht="18.75" x14ac:dyDescent="0.3">
      <c r="A28" s="15">
        <v>30</v>
      </c>
      <c r="B28" s="15">
        <v>27</v>
      </c>
      <c r="C28" s="6" t="s">
        <v>69</v>
      </c>
      <c r="D28" s="6" t="s">
        <v>51</v>
      </c>
      <c r="E28" s="6"/>
      <c r="F28" s="7">
        <v>30</v>
      </c>
      <c r="G28" s="7">
        <f t="shared" si="2"/>
        <v>0</v>
      </c>
      <c r="H28" s="6">
        <v>1</v>
      </c>
      <c r="I28" s="27" t="s">
        <v>58</v>
      </c>
      <c r="J28" s="27"/>
      <c r="K28" s="6"/>
      <c r="L28" s="13">
        <v>325</v>
      </c>
      <c r="M28" s="16">
        <f>35+25+15</f>
        <v>75</v>
      </c>
      <c r="N28" s="16"/>
      <c r="O28" s="13">
        <f t="shared" si="23"/>
        <v>9750</v>
      </c>
      <c r="P28" s="13">
        <f t="shared" si="24"/>
        <v>6825</v>
      </c>
      <c r="Q28" s="13">
        <f t="shared" si="17"/>
        <v>2925</v>
      </c>
      <c r="R28" s="13">
        <f t="shared" si="22"/>
        <v>2250</v>
      </c>
      <c r="S28" s="13">
        <f t="shared" si="21"/>
        <v>400</v>
      </c>
      <c r="T28" s="13"/>
      <c r="U28" s="8">
        <f t="shared" si="1"/>
        <v>12400</v>
      </c>
      <c r="V28" s="13">
        <f t="shared" si="15"/>
        <v>6825</v>
      </c>
      <c r="W28" s="13">
        <f t="shared" si="12"/>
        <v>819</v>
      </c>
      <c r="X28" s="8">
        <f t="shared" si="6"/>
        <v>74</v>
      </c>
      <c r="Y28" s="8">
        <f t="shared" si="7"/>
        <v>11507</v>
      </c>
      <c r="Z28" s="11">
        <f t="shared" si="8"/>
        <v>110</v>
      </c>
      <c r="AA28" s="17">
        <v>110</v>
      </c>
      <c r="AB28" s="13"/>
      <c r="AC28" s="13"/>
      <c r="AD28" s="13"/>
      <c r="AE28" s="13">
        <f t="shared" si="20"/>
        <v>11397</v>
      </c>
      <c r="AF28" s="37"/>
      <c r="AG28" s="72"/>
      <c r="AH28" s="73"/>
    </row>
    <row r="29" spans="1:34" ht="18.75" x14ac:dyDescent="0.3">
      <c r="A29" s="15">
        <v>31</v>
      </c>
      <c r="B29" s="15">
        <v>28</v>
      </c>
      <c r="C29" s="6" t="s">
        <v>70</v>
      </c>
      <c r="D29" s="6" t="s">
        <v>51</v>
      </c>
      <c r="E29" s="6"/>
      <c r="F29" s="7">
        <v>24</v>
      </c>
      <c r="G29" s="7">
        <f t="shared" si="2"/>
        <v>6</v>
      </c>
      <c r="H29" s="6"/>
      <c r="I29" s="27" t="s">
        <v>58</v>
      </c>
      <c r="J29" s="27"/>
      <c r="K29" s="6"/>
      <c r="L29" s="13">
        <v>335</v>
      </c>
      <c r="M29" s="16">
        <f>25+25+15</f>
        <v>65</v>
      </c>
      <c r="N29" s="16"/>
      <c r="O29" s="13">
        <f t="shared" si="23"/>
        <v>8040</v>
      </c>
      <c r="P29" s="13">
        <f t="shared" si="24"/>
        <v>5628</v>
      </c>
      <c r="Q29" s="13">
        <f t="shared" si="17"/>
        <v>2412</v>
      </c>
      <c r="R29" s="13">
        <f t="shared" si="22"/>
        <v>1560</v>
      </c>
      <c r="S29" s="13">
        <f t="shared" si="21"/>
        <v>0</v>
      </c>
      <c r="T29" s="13"/>
      <c r="U29" s="8">
        <f t="shared" si="1"/>
        <v>9600</v>
      </c>
      <c r="V29" s="13">
        <f t="shared" si="15"/>
        <v>5628</v>
      </c>
      <c r="W29" s="13">
        <f t="shared" si="12"/>
        <v>675</v>
      </c>
      <c r="X29" s="8">
        <f t="shared" si="6"/>
        <v>61</v>
      </c>
      <c r="Y29" s="8">
        <f t="shared" si="7"/>
        <v>8864</v>
      </c>
      <c r="Z29" s="11">
        <f t="shared" si="8"/>
        <v>0</v>
      </c>
      <c r="AA29" s="17">
        <v>110</v>
      </c>
      <c r="AB29" s="13">
        <v>2000</v>
      </c>
      <c r="AC29" s="13"/>
      <c r="AD29" s="13"/>
      <c r="AE29" s="13">
        <f t="shared" si="20"/>
        <v>6864</v>
      </c>
      <c r="AF29" s="37"/>
      <c r="AG29" s="72"/>
      <c r="AH29" s="73"/>
    </row>
    <row r="30" spans="1:34" ht="18.75" x14ac:dyDescent="0.3">
      <c r="A30" s="15">
        <v>32</v>
      </c>
      <c r="B30" s="15">
        <v>29</v>
      </c>
      <c r="C30" s="6" t="s">
        <v>71</v>
      </c>
      <c r="D30" s="6" t="s">
        <v>51</v>
      </c>
      <c r="E30" s="6"/>
      <c r="F30" s="7">
        <v>30</v>
      </c>
      <c r="G30" s="7">
        <f t="shared" si="2"/>
        <v>0</v>
      </c>
      <c r="H30" s="6"/>
      <c r="I30" s="27" t="s">
        <v>58</v>
      </c>
      <c r="J30" s="27"/>
      <c r="K30" s="6"/>
      <c r="L30" s="13">
        <v>325</v>
      </c>
      <c r="M30" s="16">
        <f>35+25+15</f>
        <v>75</v>
      </c>
      <c r="N30" s="16"/>
      <c r="O30" s="13">
        <f t="shared" si="23"/>
        <v>9750</v>
      </c>
      <c r="P30" s="13">
        <f t="shared" si="24"/>
        <v>6825</v>
      </c>
      <c r="Q30" s="13">
        <f t="shared" si="17"/>
        <v>2925</v>
      </c>
      <c r="R30" s="13">
        <f t="shared" si="22"/>
        <v>2250</v>
      </c>
      <c r="S30" s="13">
        <f t="shared" si="21"/>
        <v>0</v>
      </c>
      <c r="T30" s="13"/>
      <c r="U30" s="8">
        <f t="shared" si="1"/>
        <v>12000</v>
      </c>
      <c r="V30" s="13">
        <f t="shared" si="15"/>
        <v>6825</v>
      </c>
      <c r="W30" s="13">
        <f t="shared" si="12"/>
        <v>819</v>
      </c>
      <c r="X30" s="8">
        <f t="shared" si="6"/>
        <v>74</v>
      </c>
      <c r="Y30" s="8">
        <f t="shared" si="7"/>
        <v>11107</v>
      </c>
      <c r="Z30" s="11">
        <f t="shared" si="8"/>
        <v>110</v>
      </c>
      <c r="AA30" s="17">
        <v>110</v>
      </c>
      <c r="AB30" s="13"/>
      <c r="AC30" s="13"/>
      <c r="AD30" s="13"/>
      <c r="AE30" s="13">
        <f t="shared" si="20"/>
        <v>10997</v>
      </c>
      <c r="AF30" s="37"/>
      <c r="AG30" s="72"/>
      <c r="AH30" s="73"/>
    </row>
    <row r="31" spans="1:34" ht="18.75" x14ac:dyDescent="0.3">
      <c r="A31" s="15">
        <v>34</v>
      </c>
      <c r="B31" s="15">
        <v>30</v>
      </c>
      <c r="C31" s="6" t="s">
        <v>72</v>
      </c>
      <c r="D31" s="6" t="s">
        <v>51</v>
      </c>
      <c r="E31" s="6"/>
      <c r="F31" s="7">
        <v>27</v>
      </c>
      <c r="G31" s="7">
        <f t="shared" si="2"/>
        <v>3</v>
      </c>
      <c r="H31" s="6"/>
      <c r="I31" s="27" t="s">
        <v>58</v>
      </c>
      <c r="J31" s="27"/>
      <c r="K31" s="6"/>
      <c r="L31" s="13">
        <v>325</v>
      </c>
      <c r="M31" s="16">
        <f>15+45+15</f>
        <v>75</v>
      </c>
      <c r="N31" s="16"/>
      <c r="O31" s="13">
        <f t="shared" si="23"/>
        <v>8775</v>
      </c>
      <c r="P31" s="13">
        <f t="shared" si="24"/>
        <v>6142.5</v>
      </c>
      <c r="Q31" s="13">
        <f t="shared" si="17"/>
        <v>2632.5</v>
      </c>
      <c r="R31" s="13">
        <f t="shared" si="22"/>
        <v>2025</v>
      </c>
      <c r="S31" s="13">
        <f t="shared" si="21"/>
        <v>0</v>
      </c>
      <c r="T31" s="13"/>
      <c r="U31" s="8">
        <f t="shared" si="1"/>
        <v>10800</v>
      </c>
      <c r="V31" s="13">
        <f t="shared" si="15"/>
        <v>6142.5</v>
      </c>
      <c r="W31" s="13">
        <f t="shared" si="12"/>
        <v>737</v>
      </c>
      <c r="X31" s="8">
        <f t="shared" si="6"/>
        <v>66</v>
      </c>
      <c r="Y31" s="8">
        <f t="shared" si="7"/>
        <v>9997</v>
      </c>
      <c r="Z31" s="11">
        <f t="shared" si="8"/>
        <v>110</v>
      </c>
      <c r="AA31" s="17">
        <f t="shared" si="10"/>
        <v>110</v>
      </c>
      <c r="AB31" s="13"/>
      <c r="AC31" s="13"/>
      <c r="AD31" s="13"/>
      <c r="AE31" s="13">
        <f t="shared" si="20"/>
        <v>9887</v>
      </c>
      <c r="AF31" s="37"/>
      <c r="AG31" s="72"/>
      <c r="AH31" s="73"/>
    </row>
    <row r="32" spans="1:34" ht="18.75" x14ac:dyDescent="0.3">
      <c r="A32" s="15">
        <v>35</v>
      </c>
      <c r="B32" s="15">
        <v>31</v>
      </c>
      <c r="C32" s="6" t="s">
        <v>73</v>
      </c>
      <c r="D32" s="6" t="s">
        <v>51</v>
      </c>
      <c r="E32" s="6"/>
      <c r="F32" s="7">
        <v>26</v>
      </c>
      <c r="G32" s="7">
        <f t="shared" si="2"/>
        <v>4</v>
      </c>
      <c r="H32" s="6"/>
      <c r="I32" s="27" t="s">
        <v>58</v>
      </c>
      <c r="J32" s="27"/>
      <c r="K32" s="6"/>
      <c r="L32" s="13">
        <v>325</v>
      </c>
      <c r="M32" s="16">
        <f>15+45+15</f>
        <v>75</v>
      </c>
      <c r="N32" s="16"/>
      <c r="O32" s="13">
        <f t="shared" si="23"/>
        <v>8450</v>
      </c>
      <c r="P32" s="13">
        <f t="shared" si="24"/>
        <v>5915</v>
      </c>
      <c r="Q32" s="13">
        <f t="shared" si="17"/>
        <v>2535</v>
      </c>
      <c r="R32" s="13">
        <f t="shared" si="22"/>
        <v>1950</v>
      </c>
      <c r="S32" s="13">
        <f t="shared" si="21"/>
        <v>0</v>
      </c>
      <c r="T32" s="13"/>
      <c r="U32" s="8">
        <f t="shared" si="1"/>
        <v>10400</v>
      </c>
      <c r="V32" s="13">
        <f t="shared" si="15"/>
        <v>5915</v>
      </c>
      <c r="W32" s="13">
        <f t="shared" si="12"/>
        <v>710</v>
      </c>
      <c r="X32" s="8">
        <f t="shared" si="6"/>
        <v>64</v>
      </c>
      <c r="Y32" s="8">
        <f t="shared" si="7"/>
        <v>9626</v>
      </c>
      <c r="Z32" s="11">
        <f t="shared" si="8"/>
        <v>110</v>
      </c>
      <c r="AA32" s="17">
        <f t="shared" si="10"/>
        <v>110</v>
      </c>
      <c r="AB32" s="13"/>
      <c r="AC32" s="13"/>
      <c r="AD32" s="13"/>
      <c r="AE32" s="13">
        <f t="shared" si="20"/>
        <v>9516</v>
      </c>
      <c r="AF32" s="37"/>
      <c r="AG32" s="72"/>
      <c r="AH32" s="73"/>
    </row>
    <row r="33" spans="1:34" ht="18.75" x14ac:dyDescent="0.3">
      <c r="A33" s="15">
        <v>36</v>
      </c>
      <c r="B33" s="15">
        <v>32</v>
      </c>
      <c r="C33" s="6" t="s">
        <v>74</v>
      </c>
      <c r="D33" s="6" t="s">
        <v>51</v>
      </c>
      <c r="E33" s="6"/>
      <c r="F33" s="7">
        <v>29</v>
      </c>
      <c r="G33" s="7">
        <f t="shared" si="2"/>
        <v>1</v>
      </c>
      <c r="H33" s="6"/>
      <c r="I33" s="27" t="s">
        <v>58</v>
      </c>
      <c r="J33" s="27"/>
      <c r="K33" s="6"/>
      <c r="L33" s="13">
        <v>335</v>
      </c>
      <c r="M33" s="16">
        <f>25+25+15</f>
        <v>65</v>
      </c>
      <c r="N33" s="16"/>
      <c r="O33" s="13">
        <f t="shared" si="23"/>
        <v>9715</v>
      </c>
      <c r="P33" s="13">
        <f t="shared" si="24"/>
        <v>6800.5</v>
      </c>
      <c r="Q33" s="13">
        <f t="shared" si="17"/>
        <v>2914.5</v>
      </c>
      <c r="R33" s="13">
        <f t="shared" si="22"/>
        <v>1885</v>
      </c>
      <c r="S33" s="13">
        <f t="shared" si="21"/>
        <v>0</v>
      </c>
      <c r="T33" s="13"/>
      <c r="U33" s="8">
        <f t="shared" si="1"/>
        <v>11600</v>
      </c>
      <c r="V33" s="13">
        <f t="shared" si="15"/>
        <v>6800.5</v>
      </c>
      <c r="W33" s="13">
        <f t="shared" si="12"/>
        <v>816</v>
      </c>
      <c r="X33" s="8">
        <f t="shared" si="6"/>
        <v>73</v>
      </c>
      <c r="Y33" s="8">
        <f t="shared" si="7"/>
        <v>10711</v>
      </c>
      <c r="Z33" s="11">
        <f t="shared" si="8"/>
        <v>110</v>
      </c>
      <c r="AA33" s="17">
        <v>110</v>
      </c>
      <c r="AB33" s="13"/>
      <c r="AC33" s="13"/>
      <c r="AD33" s="13"/>
      <c r="AE33" s="13">
        <f t="shared" si="20"/>
        <v>10601</v>
      </c>
      <c r="AF33" s="37"/>
      <c r="AG33" s="72"/>
      <c r="AH33" s="73"/>
    </row>
    <row r="34" spans="1:34" ht="18.75" x14ac:dyDescent="0.3">
      <c r="A34" s="15">
        <v>37</v>
      </c>
      <c r="B34" s="15">
        <v>33</v>
      </c>
      <c r="C34" s="6" t="s">
        <v>75</v>
      </c>
      <c r="D34" s="6" t="s">
        <v>51</v>
      </c>
      <c r="E34" s="6"/>
      <c r="F34" s="7">
        <v>30</v>
      </c>
      <c r="G34" s="7">
        <f t="shared" si="2"/>
        <v>0</v>
      </c>
      <c r="H34" s="6"/>
      <c r="I34" s="27" t="s">
        <v>58</v>
      </c>
      <c r="J34" s="27"/>
      <c r="K34" s="6"/>
      <c r="L34" s="13">
        <v>335</v>
      </c>
      <c r="M34" s="16">
        <f>25+25+15</f>
        <v>65</v>
      </c>
      <c r="N34" s="16"/>
      <c r="O34" s="13">
        <f>L34*F34</f>
        <v>10050</v>
      </c>
      <c r="P34" s="13">
        <f t="shared" si="24"/>
        <v>7035</v>
      </c>
      <c r="Q34" s="13">
        <f t="shared" si="17"/>
        <v>3015</v>
      </c>
      <c r="R34" s="13">
        <f t="shared" si="22"/>
        <v>1950</v>
      </c>
      <c r="S34" s="13">
        <f t="shared" si="21"/>
        <v>0</v>
      </c>
      <c r="T34" s="13"/>
      <c r="U34" s="8">
        <f t="shared" si="1"/>
        <v>12000</v>
      </c>
      <c r="V34" s="13">
        <f t="shared" si="15"/>
        <v>7035</v>
      </c>
      <c r="W34" s="13">
        <f t="shared" si="12"/>
        <v>844</v>
      </c>
      <c r="X34" s="8">
        <f t="shared" si="6"/>
        <v>76</v>
      </c>
      <c r="Y34" s="8">
        <f t="shared" si="7"/>
        <v>11080</v>
      </c>
      <c r="Z34" s="11">
        <f t="shared" si="8"/>
        <v>110</v>
      </c>
      <c r="AA34" s="17">
        <v>110</v>
      </c>
      <c r="AB34" s="13"/>
      <c r="AC34" s="13"/>
      <c r="AD34" s="13"/>
      <c r="AE34" s="13">
        <f t="shared" si="20"/>
        <v>10970</v>
      </c>
      <c r="AF34" s="37"/>
      <c r="AG34" s="72"/>
      <c r="AH34" s="73"/>
    </row>
    <row r="35" spans="1:34" ht="18.75" x14ac:dyDescent="0.3">
      <c r="A35" s="15">
        <v>38</v>
      </c>
      <c r="B35" s="15">
        <v>34</v>
      </c>
      <c r="C35" s="6" t="s">
        <v>76</v>
      </c>
      <c r="D35" s="6"/>
      <c r="E35" s="6"/>
      <c r="F35" s="7">
        <v>27</v>
      </c>
      <c r="G35" s="7">
        <f t="shared" si="2"/>
        <v>3</v>
      </c>
      <c r="H35" s="6"/>
      <c r="I35" s="27" t="s">
        <v>58</v>
      </c>
      <c r="J35" s="27"/>
      <c r="K35" s="6"/>
      <c r="L35" s="13">
        <v>325</v>
      </c>
      <c r="M35" s="16">
        <f>35+25+15</f>
        <v>75</v>
      </c>
      <c r="N35" s="16"/>
      <c r="O35" s="13">
        <f t="shared" ref="O35:O38" si="25">L35*F35</f>
        <v>8775</v>
      </c>
      <c r="P35" s="13">
        <f t="shared" si="24"/>
        <v>6142.5</v>
      </c>
      <c r="Q35" s="13">
        <f t="shared" si="17"/>
        <v>2632.5</v>
      </c>
      <c r="R35" s="13">
        <f t="shared" si="22"/>
        <v>2025</v>
      </c>
      <c r="S35" s="13">
        <f t="shared" si="21"/>
        <v>0</v>
      </c>
      <c r="T35" s="13"/>
      <c r="U35" s="8">
        <f t="shared" si="1"/>
        <v>10800</v>
      </c>
      <c r="V35" s="13">
        <f t="shared" si="15"/>
        <v>6142.5</v>
      </c>
      <c r="W35" s="13">
        <f t="shared" si="12"/>
        <v>737</v>
      </c>
      <c r="X35" s="8">
        <f t="shared" si="6"/>
        <v>66</v>
      </c>
      <c r="Y35" s="8">
        <f t="shared" si="7"/>
        <v>9997</v>
      </c>
      <c r="Z35" s="11">
        <f t="shared" si="8"/>
        <v>110</v>
      </c>
      <c r="AA35" s="17">
        <v>110</v>
      </c>
      <c r="AB35" s="13"/>
      <c r="AC35" s="13"/>
      <c r="AD35" s="13"/>
      <c r="AE35" s="13">
        <f t="shared" si="20"/>
        <v>9887</v>
      </c>
      <c r="AF35" s="37"/>
      <c r="AG35" s="72"/>
      <c r="AH35" s="73"/>
    </row>
    <row r="36" spans="1:34" ht="18.75" x14ac:dyDescent="0.3">
      <c r="A36" s="15">
        <v>39</v>
      </c>
      <c r="B36" s="15">
        <v>35</v>
      </c>
      <c r="C36" s="6" t="s">
        <v>77</v>
      </c>
      <c r="D36" s="6"/>
      <c r="E36" s="6"/>
      <c r="F36" s="7">
        <v>29</v>
      </c>
      <c r="G36" s="7">
        <f t="shared" si="2"/>
        <v>1</v>
      </c>
      <c r="H36" s="6"/>
      <c r="I36" s="27" t="s">
        <v>58</v>
      </c>
      <c r="J36" s="27"/>
      <c r="K36" s="6"/>
      <c r="L36" s="13">
        <v>315</v>
      </c>
      <c r="M36" s="16">
        <f>45+25+15</f>
        <v>85</v>
      </c>
      <c r="N36" s="16"/>
      <c r="O36" s="13">
        <f t="shared" si="25"/>
        <v>9135</v>
      </c>
      <c r="P36" s="13">
        <f t="shared" si="24"/>
        <v>6394.5</v>
      </c>
      <c r="Q36" s="13">
        <f t="shared" si="17"/>
        <v>2740.5</v>
      </c>
      <c r="R36" s="13">
        <f t="shared" si="22"/>
        <v>2465</v>
      </c>
      <c r="S36" s="13">
        <f t="shared" si="21"/>
        <v>0</v>
      </c>
      <c r="T36" s="13"/>
      <c r="U36" s="8">
        <f t="shared" si="1"/>
        <v>11600</v>
      </c>
      <c r="V36" s="13">
        <f t="shared" si="15"/>
        <v>6394.5</v>
      </c>
      <c r="W36" s="13">
        <f t="shared" si="12"/>
        <v>767</v>
      </c>
      <c r="X36" s="8">
        <f t="shared" si="6"/>
        <v>69</v>
      </c>
      <c r="Y36" s="8">
        <f t="shared" si="7"/>
        <v>10764</v>
      </c>
      <c r="Z36" s="11">
        <f t="shared" si="8"/>
        <v>110</v>
      </c>
      <c r="AA36" s="17">
        <v>110</v>
      </c>
      <c r="AB36" s="13"/>
      <c r="AC36" s="13"/>
      <c r="AD36" s="13"/>
      <c r="AE36" s="13">
        <f t="shared" si="20"/>
        <v>10654</v>
      </c>
      <c r="AF36" s="37"/>
      <c r="AG36" s="72"/>
      <c r="AH36" s="73"/>
    </row>
    <row r="37" spans="1:34" ht="18.75" x14ac:dyDescent="0.3">
      <c r="A37" s="15">
        <v>41</v>
      </c>
      <c r="B37" s="15">
        <v>36</v>
      </c>
      <c r="C37" s="6" t="s">
        <v>79</v>
      </c>
      <c r="D37" s="6"/>
      <c r="E37" s="6"/>
      <c r="F37" s="7">
        <v>24</v>
      </c>
      <c r="G37" s="7">
        <f t="shared" si="2"/>
        <v>6</v>
      </c>
      <c r="H37" s="6"/>
      <c r="I37" s="27" t="s">
        <v>58</v>
      </c>
      <c r="J37" s="27"/>
      <c r="K37" s="6"/>
      <c r="L37" s="13">
        <v>315</v>
      </c>
      <c r="M37" s="16">
        <f>45+25+15</f>
        <v>85</v>
      </c>
      <c r="N37" s="16"/>
      <c r="O37" s="13">
        <f t="shared" si="25"/>
        <v>7560</v>
      </c>
      <c r="P37" s="13">
        <f t="shared" si="24"/>
        <v>5292</v>
      </c>
      <c r="Q37" s="13">
        <f t="shared" si="17"/>
        <v>2268</v>
      </c>
      <c r="R37" s="13">
        <f t="shared" si="22"/>
        <v>2040</v>
      </c>
      <c r="S37" s="13">
        <f t="shared" si="21"/>
        <v>0</v>
      </c>
      <c r="T37" s="13"/>
      <c r="U37" s="8">
        <f t="shared" si="1"/>
        <v>9600</v>
      </c>
      <c r="V37" s="13">
        <f t="shared" si="15"/>
        <v>5292</v>
      </c>
      <c r="W37" s="13">
        <f t="shared" si="12"/>
        <v>635</v>
      </c>
      <c r="X37" s="8">
        <f t="shared" si="6"/>
        <v>57</v>
      </c>
      <c r="Y37" s="8">
        <f t="shared" si="7"/>
        <v>8908</v>
      </c>
      <c r="Z37" s="11">
        <f t="shared" si="8"/>
        <v>0</v>
      </c>
      <c r="AA37" s="17">
        <v>110</v>
      </c>
      <c r="AB37" s="13"/>
      <c r="AC37" s="13"/>
      <c r="AD37" s="13"/>
      <c r="AE37" s="13">
        <f t="shared" si="20"/>
        <v>8908</v>
      </c>
      <c r="AF37" s="37"/>
      <c r="AG37" s="72"/>
      <c r="AH37" s="73"/>
    </row>
    <row r="38" spans="1:34" s="35" customFormat="1" ht="18.75" x14ac:dyDescent="0.3">
      <c r="A38" s="15">
        <v>42</v>
      </c>
      <c r="B38" s="15">
        <v>37</v>
      </c>
      <c r="C38" s="6" t="s">
        <v>80</v>
      </c>
      <c r="D38" s="6"/>
      <c r="E38" s="6"/>
      <c r="F38" s="7">
        <v>30</v>
      </c>
      <c r="G38" s="7">
        <f t="shared" si="2"/>
        <v>0</v>
      </c>
      <c r="H38" s="6"/>
      <c r="I38" s="38"/>
      <c r="J38" s="6">
        <f>50000+10000</f>
        <v>60000</v>
      </c>
      <c r="K38" s="6">
        <f>50000+10000</f>
        <v>60000</v>
      </c>
      <c r="L38" s="13">
        <f>K38/30</f>
        <v>2000</v>
      </c>
      <c r="M38" s="16">
        <f t="shared" ref="M38:M43" si="26">R38/31</f>
        <v>0</v>
      </c>
      <c r="N38" s="16"/>
      <c r="O38" s="13">
        <f t="shared" si="25"/>
        <v>60000</v>
      </c>
      <c r="P38" s="13">
        <f>O38*0.7</f>
        <v>42000</v>
      </c>
      <c r="Q38" s="13">
        <f t="shared" si="17"/>
        <v>18000</v>
      </c>
      <c r="R38" s="13"/>
      <c r="S38" s="13">
        <f t="shared" si="19"/>
        <v>0</v>
      </c>
      <c r="T38" s="13"/>
      <c r="U38" s="13">
        <f t="shared" ref="U38:U50" si="27">P38+Q38+S38+T38+R38</f>
        <v>60000</v>
      </c>
      <c r="V38" s="13">
        <v>0</v>
      </c>
      <c r="W38" s="13">
        <f t="shared" si="12"/>
        <v>0</v>
      </c>
      <c r="X38" s="13">
        <f t="shared" si="6"/>
        <v>0</v>
      </c>
      <c r="Y38" s="13">
        <f t="shared" si="7"/>
        <v>60000</v>
      </c>
      <c r="Z38" s="11">
        <f t="shared" si="8"/>
        <v>200</v>
      </c>
      <c r="AA38" s="17">
        <f t="shared" ref="AA38" si="28">Z38</f>
        <v>200</v>
      </c>
      <c r="AB38" s="13"/>
      <c r="AC38" s="13"/>
      <c r="AD38" s="13"/>
      <c r="AE38" s="13">
        <f>U38-W38-X38-Z38-AB38-AD38</f>
        <v>59800</v>
      </c>
      <c r="AF38" s="37"/>
      <c r="AG38" s="77"/>
      <c r="AH38" s="74"/>
    </row>
    <row r="39" spans="1:34" ht="18.75" x14ac:dyDescent="0.3">
      <c r="A39" s="15">
        <v>43</v>
      </c>
      <c r="B39" s="15">
        <v>38</v>
      </c>
      <c r="C39" s="6" t="s">
        <v>81</v>
      </c>
      <c r="D39" s="6"/>
      <c r="E39" s="6"/>
      <c r="F39" s="7">
        <v>30</v>
      </c>
      <c r="G39" s="7">
        <f t="shared" si="2"/>
        <v>0</v>
      </c>
      <c r="H39" s="6"/>
      <c r="I39" s="38"/>
      <c r="J39" s="6">
        <v>25000</v>
      </c>
      <c r="K39" s="6">
        <v>25000</v>
      </c>
      <c r="L39" s="13">
        <f t="shared" ref="L39:L43" si="29">K39/30</f>
        <v>833.33333333333337</v>
      </c>
      <c r="M39" s="16">
        <f t="shared" si="26"/>
        <v>0</v>
      </c>
      <c r="N39" s="16"/>
      <c r="O39" s="13">
        <f>L39*F39</f>
        <v>25000</v>
      </c>
      <c r="P39" s="13">
        <f>O39*0.7</f>
        <v>17500</v>
      </c>
      <c r="Q39" s="13">
        <f>O39*0.3</f>
        <v>7500</v>
      </c>
      <c r="R39" s="13"/>
      <c r="S39" s="13">
        <f t="shared" si="19"/>
        <v>0</v>
      </c>
      <c r="T39" s="13"/>
      <c r="U39" s="13">
        <f t="shared" si="27"/>
        <v>25000</v>
      </c>
      <c r="V39" s="13">
        <v>0</v>
      </c>
      <c r="W39" s="13">
        <v>0</v>
      </c>
      <c r="X39" s="8">
        <f t="shared" si="6"/>
        <v>0</v>
      </c>
      <c r="Y39" s="8">
        <f t="shared" si="7"/>
        <v>25000</v>
      </c>
      <c r="Z39" s="11">
        <f t="shared" si="8"/>
        <v>130</v>
      </c>
      <c r="AA39" s="17">
        <v>130</v>
      </c>
      <c r="AB39" s="13"/>
      <c r="AC39" s="13"/>
      <c r="AD39" s="13"/>
      <c r="AE39" s="13">
        <f t="shared" si="20"/>
        <v>24870</v>
      </c>
      <c r="AF39" s="37"/>
      <c r="AG39" s="72"/>
      <c r="AH39" s="73"/>
    </row>
    <row r="40" spans="1:34" s="35" customFormat="1" ht="18.75" x14ac:dyDescent="0.3">
      <c r="A40" s="15">
        <v>44</v>
      </c>
      <c r="B40" s="15">
        <v>39</v>
      </c>
      <c r="C40" s="6" t="s">
        <v>82</v>
      </c>
      <c r="D40" s="6" t="s">
        <v>83</v>
      </c>
      <c r="E40" s="6"/>
      <c r="F40" s="6">
        <v>30</v>
      </c>
      <c r="G40" s="6">
        <f t="shared" si="2"/>
        <v>0</v>
      </c>
      <c r="H40" s="6"/>
      <c r="I40" s="38"/>
      <c r="J40" s="6">
        <v>25000</v>
      </c>
      <c r="K40" s="6">
        <v>25000</v>
      </c>
      <c r="L40" s="13">
        <f t="shared" si="29"/>
        <v>833.33333333333337</v>
      </c>
      <c r="M40" s="16">
        <f t="shared" si="26"/>
        <v>0</v>
      </c>
      <c r="N40" s="16"/>
      <c r="O40" s="13">
        <f t="shared" si="23"/>
        <v>25000</v>
      </c>
      <c r="P40" s="13">
        <f t="shared" si="11"/>
        <v>17500</v>
      </c>
      <c r="Q40" s="13">
        <f>O40*0.3</f>
        <v>7500</v>
      </c>
      <c r="R40" s="13"/>
      <c r="S40" s="13">
        <f t="shared" si="19"/>
        <v>0</v>
      </c>
      <c r="T40" s="13"/>
      <c r="U40" s="13">
        <f t="shared" si="27"/>
        <v>25000</v>
      </c>
      <c r="V40" s="13">
        <v>0</v>
      </c>
      <c r="W40" s="13">
        <v>0</v>
      </c>
      <c r="X40" s="13">
        <f t="shared" si="6"/>
        <v>0</v>
      </c>
      <c r="Y40" s="13">
        <f t="shared" si="7"/>
        <v>25000</v>
      </c>
      <c r="Z40" s="11">
        <f t="shared" si="8"/>
        <v>130</v>
      </c>
      <c r="AA40" s="17">
        <f t="shared" si="10"/>
        <v>130</v>
      </c>
      <c r="AB40" s="13"/>
      <c r="AC40" s="13"/>
      <c r="AD40" s="13"/>
      <c r="AE40" s="13">
        <f>U40-W40-X40-Z40-AB40-AC40</f>
        <v>24870</v>
      </c>
      <c r="AF40" s="26"/>
      <c r="AG40" s="77"/>
      <c r="AH40" s="74"/>
    </row>
    <row r="41" spans="1:34" s="35" customFormat="1" ht="18.75" x14ac:dyDescent="0.3">
      <c r="A41" s="15">
        <v>45</v>
      </c>
      <c r="B41" s="15">
        <v>40</v>
      </c>
      <c r="C41" s="6" t="s">
        <v>84</v>
      </c>
      <c r="D41" s="6"/>
      <c r="E41" s="6"/>
      <c r="F41" s="6">
        <v>30</v>
      </c>
      <c r="G41" s="6">
        <f t="shared" si="2"/>
        <v>0</v>
      </c>
      <c r="H41" s="6"/>
      <c r="I41" s="38"/>
      <c r="J41" s="6">
        <v>25000</v>
      </c>
      <c r="K41" s="6">
        <v>25000</v>
      </c>
      <c r="L41" s="13">
        <f t="shared" si="29"/>
        <v>833.33333333333337</v>
      </c>
      <c r="M41" s="16">
        <f t="shared" si="26"/>
        <v>0</v>
      </c>
      <c r="N41" s="16"/>
      <c r="O41" s="13">
        <f>L41*F41</f>
        <v>25000</v>
      </c>
      <c r="P41" s="13">
        <v>25000</v>
      </c>
      <c r="Q41" s="13">
        <v>0</v>
      </c>
      <c r="R41" s="13"/>
      <c r="S41" s="13">
        <f t="shared" si="19"/>
        <v>0</v>
      </c>
      <c r="T41" s="13"/>
      <c r="U41" s="13">
        <f t="shared" si="27"/>
        <v>25000</v>
      </c>
      <c r="V41" s="13">
        <v>0</v>
      </c>
      <c r="W41" s="13">
        <v>0</v>
      </c>
      <c r="X41" s="13">
        <f t="shared" si="6"/>
        <v>0</v>
      </c>
      <c r="Y41" s="13">
        <f t="shared" si="7"/>
        <v>25000</v>
      </c>
      <c r="Z41" s="11">
        <f t="shared" si="8"/>
        <v>130</v>
      </c>
      <c r="AA41" s="17">
        <v>130</v>
      </c>
      <c r="AB41" s="13"/>
      <c r="AC41" s="13"/>
      <c r="AD41" s="13"/>
      <c r="AE41" s="13">
        <f t="shared" ref="AE41:AE48" si="30">U41-W41-X41-Z41-AB41</f>
        <v>24870</v>
      </c>
      <c r="AF41" s="26"/>
      <c r="AG41" s="77"/>
      <c r="AH41" s="74"/>
    </row>
    <row r="42" spans="1:34" s="69" customFormat="1" ht="18.75" hidden="1" x14ac:dyDescent="0.3">
      <c r="A42" s="61">
        <v>42</v>
      </c>
      <c r="B42" s="61">
        <v>41</v>
      </c>
      <c r="C42" s="62" t="s">
        <v>85</v>
      </c>
      <c r="D42" s="62"/>
      <c r="E42" s="62"/>
      <c r="F42" s="62">
        <v>0</v>
      </c>
      <c r="G42" s="62">
        <f t="shared" si="2"/>
        <v>30</v>
      </c>
      <c r="H42" s="62"/>
      <c r="I42" s="81"/>
      <c r="J42" s="62">
        <v>35000</v>
      </c>
      <c r="K42" s="62">
        <v>35000</v>
      </c>
      <c r="L42" s="64">
        <f t="shared" si="29"/>
        <v>1166.6666666666667</v>
      </c>
      <c r="M42" s="65">
        <f t="shared" si="26"/>
        <v>0</v>
      </c>
      <c r="N42" s="65"/>
      <c r="O42" s="64">
        <f t="shared" ref="O42:O51" si="31">L42*F42</f>
        <v>0</v>
      </c>
      <c r="P42" s="64">
        <f>O42*0.7</f>
        <v>0</v>
      </c>
      <c r="Q42" s="64">
        <f t="shared" ref="Q42:Q51" si="32">O42*0.3</f>
        <v>0</v>
      </c>
      <c r="R42" s="64"/>
      <c r="S42" s="64">
        <f t="shared" si="19"/>
        <v>0</v>
      </c>
      <c r="T42" s="64"/>
      <c r="U42" s="64">
        <f t="shared" si="27"/>
        <v>0</v>
      </c>
      <c r="V42" s="64">
        <v>0</v>
      </c>
      <c r="W42" s="64">
        <f t="shared" ref="W42:W51" si="33">ROUND(IF(V42&lt;=15000,V42*12%,IF(V42&gt;15000,0)),0)</f>
        <v>0</v>
      </c>
      <c r="X42" s="64">
        <f t="shared" si="6"/>
        <v>0</v>
      </c>
      <c r="Y42" s="64">
        <f t="shared" si="7"/>
        <v>0</v>
      </c>
      <c r="Z42" s="66">
        <f t="shared" si="8"/>
        <v>0</v>
      </c>
      <c r="AA42" s="67">
        <f t="shared" ref="AA42:AA43" si="34">Z42</f>
        <v>0</v>
      </c>
      <c r="AB42" s="64"/>
      <c r="AC42" s="64"/>
      <c r="AD42" s="64"/>
      <c r="AE42" s="64">
        <f>U42-W42-X42-Z42-AB42-AD42</f>
        <v>0</v>
      </c>
      <c r="AF42" s="68"/>
      <c r="AG42" s="75"/>
      <c r="AH42" s="76"/>
    </row>
    <row r="43" spans="1:34" s="35" customFormat="1" ht="18.75" x14ac:dyDescent="0.3">
      <c r="A43" s="15">
        <v>42</v>
      </c>
      <c r="B43" s="15">
        <v>42</v>
      </c>
      <c r="C43" s="6" t="s">
        <v>86</v>
      </c>
      <c r="D43" s="6"/>
      <c r="E43" s="6"/>
      <c r="F43" s="6">
        <v>30</v>
      </c>
      <c r="G43" s="6">
        <f t="shared" si="2"/>
        <v>0</v>
      </c>
      <c r="H43" s="6"/>
      <c r="I43" s="38"/>
      <c r="J43" s="6">
        <f>50000+10000</f>
        <v>60000</v>
      </c>
      <c r="K43" s="6">
        <f>50000+10000</f>
        <v>60000</v>
      </c>
      <c r="L43" s="13">
        <f t="shared" si="29"/>
        <v>2000</v>
      </c>
      <c r="M43" s="16">
        <f t="shared" si="26"/>
        <v>0</v>
      </c>
      <c r="N43" s="16"/>
      <c r="O43" s="13">
        <f t="shared" si="31"/>
        <v>60000</v>
      </c>
      <c r="P43" s="13">
        <f>O43*0.7</f>
        <v>42000</v>
      </c>
      <c r="Q43" s="13">
        <f t="shared" si="32"/>
        <v>18000</v>
      </c>
      <c r="R43" s="13"/>
      <c r="S43" s="13">
        <f t="shared" si="19"/>
        <v>0</v>
      </c>
      <c r="T43" s="13"/>
      <c r="U43" s="13">
        <f t="shared" si="27"/>
        <v>60000</v>
      </c>
      <c r="V43" s="13">
        <v>0</v>
      </c>
      <c r="W43" s="13">
        <f t="shared" si="33"/>
        <v>0</v>
      </c>
      <c r="X43" s="13">
        <f t="shared" si="6"/>
        <v>0</v>
      </c>
      <c r="Y43" s="13">
        <f t="shared" si="7"/>
        <v>60000</v>
      </c>
      <c r="Z43" s="11">
        <f t="shared" si="8"/>
        <v>200</v>
      </c>
      <c r="AA43" s="17">
        <f t="shared" si="34"/>
        <v>200</v>
      </c>
      <c r="AB43" s="13"/>
      <c r="AC43" s="13"/>
      <c r="AD43" s="13"/>
      <c r="AE43" s="13">
        <f>U43-W43-X43-Z43-AB43-AD43</f>
        <v>59800</v>
      </c>
      <c r="AF43" s="37"/>
      <c r="AG43" s="77"/>
      <c r="AH43" s="74"/>
    </row>
    <row r="44" spans="1:34" s="35" customFormat="1" ht="18.75" x14ac:dyDescent="0.3">
      <c r="A44" s="15">
        <v>47</v>
      </c>
      <c r="B44" s="15">
        <v>43</v>
      </c>
      <c r="C44" s="6" t="s">
        <v>87</v>
      </c>
      <c r="D44" s="6"/>
      <c r="E44" s="6"/>
      <c r="F44" s="6">
        <v>30</v>
      </c>
      <c r="G44" s="6">
        <f t="shared" si="2"/>
        <v>0</v>
      </c>
      <c r="H44" s="6"/>
      <c r="I44" s="38"/>
      <c r="J44" s="38"/>
      <c r="K44" s="6">
        <v>0</v>
      </c>
      <c r="L44" s="13">
        <v>356</v>
      </c>
      <c r="M44" s="16">
        <f>19+20+15</f>
        <v>54</v>
      </c>
      <c r="N44" s="16"/>
      <c r="O44" s="13">
        <f t="shared" si="31"/>
        <v>10680</v>
      </c>
      <c r="P44" s="13">
        <f t="shared" ref="P44:P47" si="35">O44*0.7</f>
        <v>7475.9999999999991</v>
      </c>
      <c r="Q44" s="13">
        <f t="shared" si="32"/>
        <v>3204</v>
      </c>
      <c r="R44" s="13">
        <f>M44*F44</f>
        <v>1620</v>
      </c>
      <c r="S44" s="13">
        <f>H44*(L44+M44)</f>
        <v>0</v>
      </c>
      <c r="T44" s="13"/>
      <c r="U44" s="13">
        <f t="shared" si="27"/>
        <v>12300</v>
      </c>
      <c r="V44" s="13">
        <f>P44</f>
        <v>7475.9999999999991</v>
      </c>
      <c r="W44" s="13">
        <f t="shared" si="33"/>
        <v>897</v>
      </c>
      <c r="X44" s="13">
        <f t="shared" si="6"/>
        <v>81</v>
      </c>
      <c r="Y44" s="13">
        <f t="shared" si="7"/>
        <v>11322</v>
      </c>
      <c r="Z44" s="11">
        <f t="shared" si="8"/>
        <v>110</v>
      </c>
      <c r="AA44" s="17">
        <v>110</v>
      </c>
      <c r="AB44" s="13"/>
      <c r="AC44" s="13"/>
      <c r="AD44" s="13"/>
      <c r="AE44" s="13">
        <f t="shared" si="30"/>
        <v>11212</v>
      </c>
      <c r="AF44" s="26"/>
      <c r="AG44" s="77"/>
      <c r="AH44" s="74"/>
    </row>
    <row r="45" spans="1:34" s="35" customFormat="1" ht="18.75" x14ac:dyDescent="0.3">
      <c r="A45" s="15">
        <v>48</v>
      </c>
      <c r="B45" s="15">
        <v>44</v>
      </c>
      <c r="C45" s="6" t="s">
        <v>88</v>
      </c>
      <c r="D45" s="6"/>
      <c r="E45" s="6"/>
      <c r="F45" s="6">
        <v>29</v>
      </c>
      <c r="G45" s="6">
        <f t="shared" si="2"/>
        <v>1</v>
      </c>
      <c r="H45" s="6"/>
      <c r="I45" s="38"/>
      <c r="J45" s="38"/>
      <c r="K45" s="6">
        <v>0</v>
      </c>
      <c r="L45" s="13">
        <v>356</v>
      </c>
      <c r="M45" s="16">
        <f>19+20+15</f>
        <v>54</v>
      </c>
      <c r="N45" s="16"/>
      <c r="O45" s="13">
        <f t="shared" si="31"/>
        <v>10324</v>
      </c>
      <c r="P45" s="13">
        <f t="shared" si="35"/>
        <v>7226.7999999999993</v>
      </c>
      <c r="Q45" s="13">
        <f t="shared" si="32"/>
        <v>3097.2</v>
      </c>
      <c r="R45" s="13">
        <f t="shared" ref="R45:R47" si="36">M45*F45</f>
        <v>1566</v>
      </c>
      <c r="S45" s="13">
        <f>H45*(L45+M45)</f>
        <v>0</v>
      </c>
      <c r="T45" s="13"/>
      <c r="U45" s="13">
        <f t="shared" si="27"/>
        <v>11890</v>
      </c>
      <c r="V45" s="13">
        <f>P45</f>
        <v>7226.7999999999993</v>
      </c>
      <c r="W45" s="13">
        <f t="shared" si="33"/>
        <v>867</v>
      </c>
      <c r="X45" s="13">
        <f t="shared" si="6"/>
        <v>78</v>
      </c>
      <c r="Y45" s="13">
        <f t="shared" si="7"/>
        <v>10945</v>
      </c>
      <c r="Z45" s="11">
        <f t="shared" si="8"/>
        <v>110</v>
      </c>
      <c r="AA45" s="17">
        <v>110</v>
      </c>
      <c r="AB45" s="13"/>
      <c r="AC45" s="13"/>
      <c r="AD45" s="13"/>
      <c r="AE45" s="13">
        <f t="shared" si="30"/>
        <v>10835</v>
      </c>
      <c r="AF45" s="26"/>
      <c r="AG45" s="77"/>
      <c r="AH45" s="74"/>
    </row>
    <row r="46" spans="1:34" s="35" customFormat="1" ht="18.75" x14ac:dyDescent="0.3">
      <c r="A46" s="15">
        <v>49</v>
      </c>
      <c r="B46" s="15">
        <v>45</v>
      </c>
      <c r="C46" s="6" t="s">
        <v>89</v>
      </c>
      <c r="D46" s="6"/>
      <c r="E46" s="6"/>
      <c r="F46" s="6">
        <v>28</v>
      </c>
      <c r="G46" s="6">
        <f t="shared" si="2"/>
        <v>2</v>
      </c>
      <c r="H46" s="6"/>
      <c r="I46" s="27" t="s">
        <v>58</v>
      </c>
      <c r="J46" s="27"/>
      <c r="K46" s="6">
        <v>0</v>
      </c>
      <c r="L46" s="13">
        <v>334</v>
      </c>
      <c r="M46" s="16">
        <f>26+25+15</f>
        <v>66</v>
      </c>
      <c r="N46" s="16"/>
      <c r="O46" s="13">
        <f t="shared" si="31"/>
        <v>9352</v>
      </c>
      <c r="P46" s="13">
        <f t="shared" si="35"/>
        <v>6546.4</v>
      </c>
      <c r="Q46" s="13">
        <f t="shared" si="32"/>
        <v>2805.6</v>
      </c>
      <c r="R46" s="13">
        <f t="shared" si="36"/>
        <v>1848</v>
      </c>
      <c r="S46" s="13">
        <f>H46*(L46+M46)</f>
        <v>0</v>
      </c>
      <c r="T46" s="13"/>
      <c r="U46" s="13">
        <f t="shared" si="27"/>
        <v>11200</v>
      </c>
      <c r="V46" s="13">
        <f>P46</f>
        <v>6546.4</v>
      </c>
      <c r="W46" s="13">
        <f t="shared" si="33"/>
        <v>786</v>
      </c>
      <c r="X46" s="13">
        <f t="shared" si="6"/>
        <v>71</v>
      </c>
      <c r="Y46" s="13">
        <f t="shared" si="7"/>
        <v>10343</v>
      </c>
      <c r="Z46" s="11">
        <f t="shared" si="8"/>
        <v>110</v>
      </c>
      <c r="AA46" s="17">
        <f t="shared" si="10"/>
        <v>110</v>
      </c>
      <c r="AB46" s="13"/>
      <c r="AC46" s="13"/>
      <c r="AD46" s="13"/>
      <c r="AE46" s="13">
        <f t="shared" si="30"/>
        <v>10233</v>
      </c>
      <c r="AF46" s="26"/>
      <c r="AG46" s="77"/>
      <c r="AH46" s="74"/>
    </row>
    <row r="47" spans="1:34" s="35" customFormat="1" ht="18.75" x14ac:dyDescent="0.3">
      <c r="A47" s="15">
        <v>50</v>
      </c>
      <c r="B47" s="15">
        <v>46</v>
      </c>
      <c r="C47" s="6" t="s">
        <v>90</v>
      </c>
      <c r="D47" s="6"/>
      <c r="E47" s="6"/>
      <c r="F47" s="6">
        <v>25</v>
      </c>
      <c r="G47" s="6">
        <f t="shared" si="2"/>
        <v>5</v>
      </c>
      <c r="H47" s="6"/>
      <c r="I47" s="27" t="s">
        <v>58</v>
      </c>
      <c r="J47" s="27"/>
      <c r="K47" s="6">
        <v>0</v>
      </c>
      <c r="L47" s="13">
        <v>325</v>
      </c>
      <c r="M47" s="16">
        <f>15+45+15</f>
        <v>75</v>
      </c>
      <c r="N47" s="16"/>
      <c r="O47" s="13">
        <f t="shared" si="31"/>
        <v>8125</v>
      </c>
      <c r="P47" s="13">
        <f t="shared" si="35"/>
        <v>5687.5</v>
      </c>
      <c r="Q47" s="13">
        <f t="shared" si="32"/>
        <v>2437.5</v>
      </c>
      <c r="R47" s="13">
        <f t="shared" si="36"/>
        <v>1875</v>
      </c>
      <c r="S47" s="13">
        <f>H47*(L47+M47)</f>
        <v>0</v>
      </c>
      <c r="T47" s="13"/>
      <c r="U47" s="13">
        <f t="shared" si="27"/>
        <v>10000</v>
      </c>
      <c r="V47" s="13">
        <f>P47</f>
        <v>5687.5</v>
      </c>
      <c r="W47" s="13">
        <f t="shared" si="33"/>
        <v>683</v>
      </c>
      <c r="X47" s="13">
        <f t="shared" si="6"/>
        <v>61</v>
      </c>
      <c r="Y47" s="13">
        <f t="shared" si="7"/>
        <v>9256</v>
      </c>
      <c r="Z47" s="11">
        <f t="shared" si="8"/>
        <v>0</v>
      </c>
      <c r="AA47" s="17">
        <f t="shared" si="10"/>
        <v>0</v>
      </c>
      <c r="AB47" s="13"/>
      <c r="AC47" s="13"/>
      <c r="AD47" s="13"/>
      <c r="AE47" s="13">
        <f t="shared" si="30"/>
        <v>9256</v>
      </c>
      <c r="AF47" s="26"/>
      <c r="AG47" s="77"/>
      <c r="AH47" s="74"/>
    </row>
    <row r="48" spans="1:34" s="35" customFormat="1" ht="18.75" x14ac:dyDescent="0.3">
      <c r="A48" s="15">
        <v>51</v>
      </c>
      <c r="B48" s="15">
        <v>47</v>
      </c>
      <c r="C48" s="6" t="s">
        <v>91</v>
      </c>
      <c r="D48" s="6"/>
      <c r="E48" s="6"/>
      <c r="F48" s="6">
        <v>29</v>
      </c>
      <c r="G48" s="6">
        <f t="shared" si="2"/>
        <v>1</v>
      </c>
      <c r="H48" s="6"/>
      <c r="I48" s="27"/>
      <c r="J48" s="6">
        <v>51000</v>
      </c>
      <c r="K48" s="6">
        <v>51000</v>
      </c>
      <c r="L48" s="13">
        <f>K48/30</f>
        <v>1700</v>
      </c>
      <c r="M48" s="13">
        <f>N48/30</f>
        <v>0</v>
      </c>
      <c r="N48" s="16"/>
      <c r="O48" s="13">
        <f t="shared" si="31"/>
        <v>49300</v>
      </c>
      <c r="P48" s="13">
        <f>O48*0.51</f>
        <v>25143</v>
      </c>
      <c r="Q48" s="13">
        <f>O48*0.49</f>
        <v>24157</v>
      </c>
      <c r="R48" s="13"/>
      <c r="S48" s="16">
        <f t="shared" si="19"/>
        <v>0</v>
      </c>
      <c r="T48" s="13"/>
      <c r="U48" s="13">
        <f t="shared" si="27"/>
        <v>49300</v>
      </c>
      <c r="V48" s="13">
        <v>0</v>
      </c>
      <c r="W48" s="13">
        <f t="shared" si="33"/>
        <v>0</v>
      </c>
      <c r="X48" s="13">
        <f t="shared" si="6"/>
        <v>0</v>
      </c>
      <c r="Y48" s="13">
        <f t="shared" si="7"/>
        <v>49300</v>
      </c>
      <c r="Z48" s="11">
        <f t="shared" si="8"/>
        <v>200</v>
      </c>
      <c r="AA48" s="17">
        <v>200</v>
      </c>
      <c r="AB48" s="13"/>
      <c r="AC48" s="13"/>
      <c r="AD48" s="13"/>
      <c r="AE48" s="13">
        <f t="shared" si="30"/>
        <v>49100</v>
      </c>
      <c r="AF48" s="37"/>
      <c r="AG48" s="77"/>
      <c r="AH48" s="74"/>
    </row>
    <row r="49" spans="1:46" ht="18.75" x14ac:dyDescent="0.3">
      <c r="A49" s="15">
        <v>52</v>
      </c>
      <c r="B49" s="15">
        <v>48</v>
      </c>
      <c r="C49" s="6" t="s">
        <v>92</v>
      </c>
      <c r="D49" s="6"/>
      <c r="E49" s="6"/>
      <c r="F49" s="7">
        <v>30</v>
      </c>
      <c r="G49" s="7">
        <f t="shared" si="2"/>
        <v>0</v>
      </c>
      <c r="H49" s="6"/>
      <c r="I49" s="39"/>
      <c r="J49" s="6">
        <f>50000+10000</f>
        <v>60000</v>
      </c>
      <c r="K49" s="6">
        <f>50000+10000</f>
        <v>60000</v>
      </c>
      <c r="L49" s="13">
        <f t="shared" ref="L49:L50" si="37">K49/30</f>
        <v>2000</v>
      </c>
      <c r="M49" s="16">
        <f>R49/30</f>
        <v>0</v>
      </c>
      <c r="N49" s="16"/>
      <c r="O49" s="13">
        <f t="shared" si="31"/>
        <v>60000</v>
      </c>
      <c r="P49" s="13">
        <f>O49*0.7</f>
        <v>42000</v>
      </c>
      <c r="Q49" s="13">
        <f t="shared" si="32"/>
        <v>18000</v>
      </c>
      <c r="R49" s="13"/>
      <c r="S49" s="13">
        <f t="shared" si="19"/>
        <v>0</v>
      </c>
      <c r="T49" s="13"/>
      <c r="U49" s="13">
        <f t="shared" si="27"/>
        <v>60000</v>
      </c>
      <c r="V49" s="13">
        <v>0</v>
      </c>
      <c r="W49" s="13">
        <f t="shared" si="33"/>
        <v>0</v>
      </c>
      <c r="X49" s="8">
        <f t="shared" si="6"/>
        <v>0</v>
      </c>
      <c r="Y49" s="8">
        <f t="shared" si="7"/>
        <v>60000</v>
      </c>
      <c r="Z49" s="11"/>
      <c r="AA49" s="17">
        <f t="shared" si="10"/>
        <v>0</v>
      </c>
      <c r="AB49" s="13"/>
      <c r="AC49" s="13"/>
      <c r="AD49" s="13">
        <v>15000</v>
      </c>
      <c r="AE49" s="13">
        <f>Y49-AD49</f>
        <v>45000</v>
      </c>
      <c r="AF49" s="37"/>
      <c r="AG49" s="72"/>
      <c r="AH49" s="73"/>
    </row>
    <row r="50" spans="1:46" ht="18.75" x14ac:dyDescent="0.3">
      <c r="A50" s="15">
        <v>53</v>
      </c>
      <c r="B50" s="15">
        <v>49</v>
      </c>
      <c r="C50" s="6" t="s">
        <v>93</v>
      </c>
      <c r="D50" s="6" t="s">
        <v>31</v>
      </c>
      <c r="E50" s="6"/>
      <c r="F50" s="7">
        <v>30</v>
      </c>
      <c r="G50" s="7">
        <f t="shared" si="2"/>
        <v>0</v>
      </c>
      <c r="H50" s="6"/>
      <c r="I50" s="39"/>
      <c r="J50" s="6">
        <v>21700</v>
      </c>
      <c r="K50" s="6">
        <v>16000</v>
      </c>
      <c r="L50" s="13">
        <f t="shared" si="37"/>
        <v>533.33333333333337</v>
      </c>
      <c r="M50" s="16">
        <f>R50/30</f>
        <v>256.66666666666669</v>
      </c>
      <c r="N50" s="16">
        <f>2000+1000+2000+700+2000</f>
        <v>7700</v>
      </c>
      <c r="O50" s="13">
        <f t="shared" si="31"/>
        <v>16000.000000000002</v>
      </c>
      <c r="P50" s="13">
        <f>O50*0.7</f>
        <v>11200</v>
      </c>
      <c r="Q50" s="13">
        <f t="shared" si="32"/>
        <v>4800</v>
      </c>
      <c r="R50" s="13">
        <f>(1000+1000+1000+2000+700+2000)/30*F50</f>
        <v>7700.0000000000009</v>
      </c>
      <c r="S50" s="16">
        <f t="shared" si="19"/>
        <v>0</v>
      </c>
      <c r="T50" s="13"/>
      <c r="U50" s="13">
        <f t="shared" si="27"/>
        <v>23700</v>
      </c>
      <c r="V50" s="13">
        <f>P50</f>
        <v>11200</v>
      </c>
      <c r="W50" s="13">
        <f t="shared" si="33"/>
        <v>1344</v>
      </c>
      <c r="X50" s="8">
        <f t="shared" si="6"/>
        <v>0</v>
      </c>
      <c r="Y50" s="8">
        <f t="shared" si="7"/>
        <v>22356</v>
      </c>
      <c r="Z50" s="11">
        <f t="shared" si="8"/>
        <v>130</v>
      </c>
      <c r="AA50" s="17">
        <v>130</v>
      </c>
      <c r="AB50" s="13"/>
      <c r="AC50" s="13"/>
      <c r="AD50" s="13"/>
      <c r="AE50" s="13">
        <f>U50-W50-X50-Z50-AB50</f>
        <v>22226</v>
      </c>
      <c r="AF50" s="37"/>
      <c r="AG50" s="72"/>
      <c r="AH50" s="73"/>
    </row>
    <row r="51" spans="1:46" ht="18.75" x14ac:dyDescent="0.3">
      <c r="A51" s="15">
        <v>54</v>
      </c>
      <c r="B51" s="15">
        <v>50</v>
      </c>
      <c r="C51" s="6" t="s">
        <v>94</v>
      </c>
      <c r="D51" s="6"/>
      <c r="E51" s="6"/>
      <c r="F51" s="7">
        <v>26</v>
      </c>
      <c r="G51" s="7">
        <f t="shared" si="2"/>
        <v>4</v>
      </c>
      <c r="H51" s="6"/>
      <c r="I51" s="27" t="s">
        <v>49</v>
      </c>
      <c r="J51" s="27"/>
      <c r="K51" s="6"/>
      <c r="L51" s="13">
        <v>320</v>
      </c>
      <c r="M51" s="16">
        <f>20+15</f>
        <v>35</v>
      </c>
      <c r="N51" s="16"/>
      <c r="O51" s="13">
        <f t="shared" si="31"/>
        <v>8320</v>
      </c>
      <c r="P51" s="13">
        <f t="shared" ref="P51" si="38">O51*0.7</f>
        <v>5824</v>
      </c>
      <c r="Q51" s="13">
        <f t="shared" si="32"/>
        <v>2496</v>
      </c>
      <c r="R51" s="13">
        <f>M51*F51</f>
        <v>910</v>
      </c>
      <c r="S51" s="13">
        <f>H51*(L51+M51)</f>
        <v>0</v>
      </c>
      <c r="T51" s="13"/>
      <c r="U51" s="8">
        <f t="shared" ref="U51:U52" si="39">P51+Q51+S51+R51+T51</f>
        <v>9230</v>
      </c>
      <c r="V51" s="13">
        <f t="shared" ref="V51" si="40">P51</f>
        <v>5824</v>
      </c>
      <c r="W51" s="13">
        <f t="shared" si="33"/>
        <v>699</v>
      </c>
      <c r="X51" s="8">
        <f t="shared" si="6"/>
        <v>63</v>
      </c>
      <c r="Y51" s="8">
        <f t="shared" si="7"/>
        <v>8468</v>
      </c>
      <c r="Z51" s="11">
        <f t="shared" si="8"/>
        <v>0</v>
      </c>
      <c r="AA51" s="17"/>
      <c r="AB51" s="13"/>
      <c r="AC51" s="13"/>
      <c r="AD51" s="13"/>
      <c r="AE51" s="13">
        <f>U51-W51-X51-Z51-AB51-AC51</f>
        <v>8468</v>
      </c>
      <c r="AF51" s="37"/>
      <c r="AG51" s="72"/>
      <c r="AH51" s="73"/>
    </row>
    <row r="52" spans="1:46" s="42" customFormat="1" ht="18.75" x14ac:dyDescent="0.3">
      <c r="A52" s="19">
        <v>55</v>
      </c>
      <c r="B52" s="19">
        <v>51</v>
      </c>
      <c r="C52" s="20" t="s">
        <v>95</v>
      </c>
      <c r="D52" s="20"/>
      <c r="E52" s="20"/>
      <c r="F52" s="20">
        <v>10</v>
      </c>
      <c r="G52" s="20">
        <f t="shared" si="2"/>
        <v>20</v>
      </c>
      <c r="H52" s="20"/>
      <c r="I52" s="20"/>
      <c r="J52" s="20">
        <v>23000</v>
      </c>
      <c r="K52" s="20">
        <v>22000</v>
      </c>
      <c r="L52" s="21">
        <f>K52/30</f>
        <v>733.33333333333337</v>
      </c>
      <c r="M52" s="21">
        <f>N52/30</f>
        <v>33.333333333333336</v>
      </c>
      <c r="N52" s="22">
        <v>1000</v>
      </c>
      <c r="O52" s="21">
        <f>L52*F52</f>
        <v>7333.3333333333339</v>
      </c>
      <c r="P52" s="21">
        <f>O52*1</f>
        <v>7333.3333333333339</v>
      </c>
      <c r="Q52" s="40">
        <v>0</v>
      </c>
      <c r="R52" s="21">
        <f>(N52)/30*F52</f>
        <v>333.33333333333337</v>
      </c>
      <c r="S52" s="22">
        <f t="shared" ref="S52" si="41">(L52+M52)*H52</f>
        <v>0</v>
      </c>
      <c r="T52" s="21"/>
      <c r="U52" s="21">
        <f t="shared" si="39"/>
        <v>7666.666666666667</v>
      </c>
      <c r="V52" s="40">
        <v>0</v>
      </c>
      <c r="W52" s="40">
        <f>IF(V52&lt;=15000,V52*12%,IF(V52&gt;15000,0))</f>
        <v>0</v>
      </c>
      <c r="X52" s="21">
        <f t="shared" si="6"/>
        <v>0</v>
      </c>
      <c r="Y52" s="21">
        <f>U52-W52-X52</f>
        <v>7666.666666666667</v>
      </c>
      <c r="Z52" s="23">
        <f>IF(U52&gt;40000,200,IF(U52&gt;25000,150,IF(U52&gt;15000,130,IF(U52&gt;10000,110,0))))</f>
        <v>0</v>
      </c>
      <c r="AA52" s="24">
        <v>130</v>
      </c>
      <c r="AB52" s="21"/>
      <c r="AC52" s="40"/>
      <c r="AD52" s="40"/>
      <c r="AE52" s="21">
        <f>U52-W52-X52-Z52-AB52</f>
        <v>7666.666666666667</v>
      </c>
      <c r="AF52" s="41"/>
      <c r="AG52" s="72"/>
      <c r="AH52" s="78"/>
    </row>
    <row r="53" spans="1:46" ht="18.75" x14ac:dyDescent="0.3">
      <c r="A53" s="43"/>
      <c r="B53" s="43"/>
      <c r="C53" s="44" t="s">
        <v>96</v>
      </c>
      <c r="D53" s="44"/>
      <c r="E53" s="44"/>
      <c r="F53" s="44">
        <f>SUM(F3:F52)</f>
        <v>1302</v>
      </c>
      <c r="G53" s="44"/>
      <c r="H53" s="44">
        <f>SUM(H3:H52)</f>
        <v>10</v>
      </c>
      <c r="I53" s="45"/>
      <c r="J53" s="45"/>
      <c r="K53" s="44"/>
      <c r="L53" s="44">
        <f>SUM(L3:L52)</f>
        <v>27014.333333333332</v>
      </c>
      <c r="M53" s="44">
        <f>SUM(M3:M52)</f>
        <v>3338.6666666666665</v>
      </c>
      <c r="N53" s="44"/>
      <c r="O53" s="44">
        <f t="shared" ref="O53:Z53" si="42">SUM(O3:O52)</f>
        <v>707967.66666666674</v>
      </c>
      <c r="P53" s="46">
        <f t="shared" si="42"/>
        <v>517230.3666666667</v>
      </c>
      <c r="Q53" s="47">
        <f t="shared" si="42"/>
        <v>190737.30000000002</v>
      </c>
      <c r="R53" s="47">
        <f t="shared" si="42"/>
        <v>91922.333333333328</v>
      </c>
      <c r="S53" s="44">
        <f t="shared" si="42"/>
        <v>3488.3333333333335</v>
      </c>
      <c r="T53" s="47">
        <f t="shared" si="42"/>
        <v>0</v>
      </c>
      <c r="U53" s="48">
        <f t="shared" si="42"/>
        <v>803378.33333333326</v>
      </c>
      <c r="V53" s="48">
        <f t="shared" si="42"/>
        <v>227687.36666666664</v>
      </c>
      <c r="W53" s="48">
        <f t="shared" si="42"/>
        <v>27325</v>
      </c>
      <c r="X53" s="48">
        <f t="shared" si="42"/>
        <v>2450</v>
      </c>
      <c r="Y53" s="48">
        <f t="shared" si="42"/>
        <v>773603.33333333326</v>
      </c>
      <c r="Z53" s="48">
        <f t="shared" si="42"/>
        <v>3900</v>
      </c>
      <c r="AA53" s="49">
        <v>4400</v>
      </c>
      <c r="AB53" s="49">
        <f>SUM(AB3:AB51)</f>
        <v>4000</v>
      </c>
      <c r="AC53" s="49"/>
      <c r="AD53" s="49">
        <f>SUM(AD3:AD51)</f>
        <v>15000</v>
      </c>
      <c r="AE53" s="50">
        <f>SUM(AE3:AE52)</f>
        <v>750703.33333333326</v>
      </c>
      <c r="AF53" s="37"/>
      <c r="AG53" s="72"/>
      <c r="AH53" s="73"/>
    </row>
    <row r="54" spans="1:46" ht="18.75" x14ac:dyDescent="0.3">
      <c r="U54" s="35"/>
      <c r="V54" s="35"/>
      <c r="W54" s="35"/>
      <c r="X54" s="35"/>
      <c r="Y54" s="51"/>
      <c r="Z54" s="35"/>
      <c r="AA54" s="35"/>
      <c r="AB54" s="35"/>
      <c r="AC54" s="35"/>
      <c r="AD54" s="35"/>
      <c r="AE54" s="52"/>
      <c r="AF54" s="35"/>
      <c r="AG54" s="72"/>
      <c r="AH54" s="73"/>
    </row>
    <row r="55" spans="1:46" ht="18.75" x14ac:dyDescent="0.3">
      <c r="AG55" s="72"/>
      <c r="AH55" s="73"/>
    </row>
    <row r="56" spans="1:46" ht="18.75" x14ac:dyDescent="0.3">
      <c r="AG56" s="72"/>
      <c r="AH56" s="73"/>
    </row>
    <row r="57" spans="1:46" x14ac:dyDescent="0.25">
      <c r="AG57" s="73"/>
      <c r="AH57" s="73"/>
    </row>
    <row r="58" spans="1:46" x14ac:dyDescent="0.25">
      <c r="AG58" s="73"/>
      <c r="AH58" s="73"/>
    </row>
    <row r="61" spans="1:46" ht="18" x14ac:dyDescent="0.25">
      <c r="C61" s="57"/>
      <c r="D61" s="57"/>
      <c r="E61" s="57"/>
      <c r="F61" s="57"/>
      <c r="G61" s="57"/>
      <c r="H61" s="57"/>
      <c r="I61" s="57"/>
      <c r="J61" s="57"/>
      <c r="K61" s="57"/>
    </row>
    <row r="62" spans="1:46" s="58" customFormat="1" ht="18" x14ac:dyDescent="0.25"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</row>
  </sheetData>
  <mergeCells count="1">
    <mergeCell ref="B1:AE1"/>
  </mergeCells>
  <pageMargins left="0.25" right="0.25" top="0.75" bottom="0.75" header="0.3" footer="0.3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1"/>
  <sheetViews>
    <sheetView tabSelected="1" topLeftCell="B1" zoomScale="78" zoomScaleNormal="78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B53" sqref="B53"/>
    </sheetView>
  </sheetViews>
  <sheetFormatPr defaultRowHeight="15" x14ac:dyDescent="0.25"/>
  <cols>
    <col min="1" max="1" width="0" hidden="1" customWidth="1"/>
    <col min="2" max="2" width="7.28515625" customWidth="1"/>
    <col min="3" max="3" width="35.42578125" customWidth="1"/>
    <col min="4" max="4" width="25.5703125" hidden="1" customWidth="1"/>
    <col min="5" max="5" width="2" hidden="1" customWidth="1"/>
    <col min="6" max="6" width="8.140625" bestFit="1" customWidth="1"/>
    <col min="9" max="9" width="9.140625" hidden="1" customWidth="1"/>
    <col min="10" max="11" width="9.85546875" bestFit="1" customWidth="1"/>
    <col min="12" max="12" width="12.85546875" customWidth="1"/>
    <col min="13" max="13" width="14.28515625" bestFit="1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4" ht="18" x14ac:dyDescent="0.25">
      <c r="C1" s="84" t="s">
        <v>101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6"/>
      <c r="AG1" s="73"/>
      <c r="AH1" s="73"/>
    </row>
    <row r="2" spans="1:34" s="4" customFormat="1" ht="94.5" x14ac:dyDescent="0.25">
      <c r="A2" s="59" t="s">
        <v>0</v>
      </c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4</v>
      </c>
      <c r="J2" s="59" t="s">
        <v>8</v>
      </c>
      <c r="K2" s="59" t="s">
        <v>9</v>
      </c>
      <c r="L2" s="59" t="s">
        <v>10</v>
      </c>
      <c r="M2" s="59" t="s">
        <v>11</v>
      </c>
      <c r="N2" s="59" t="s">
        <v>12</v>
      </c>
      <c r="O2" s="59" t="s">
        <v>13</v>
      </c>
      <c r="P2" s="59" t="s">
        <v>14</v>
      </c>
      <c r="Q2" s="59" t="s">
        <v>15</v>
      </c>
      <c r="R2" s="59" t="s">
        <v>16</v>
      </c>
      <c r="S2" s="59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59" t="s">
        <v>23</v>
      </c>
      <c r="Z2" s="60" t="s">
        <v>24</v>
      </c>
      <c r="AA2" s="59" t="s">
        <v>25</v>
      </c>
      <c r="AB2" s="59" t="s">
        <v>26</v>
      </c>
      <c r="AC2" s="59" t="s">
        <v>27</v>
      </c>
      <c r="AD2" s="59" t="s">
        <v>28</v>
      </c>
      <c r="AE2" s="59" t="s">
        <v>29</v>
      </c>
      <c r="AF2" s="3"/>
    </row>
    <row r="3" spans="1:34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31</v>
      </c>
      <c r="G3" s="7">
        <f>31-F3</f>
        <v>0</v>
      </c>
      <c r="H3" s="7"/>
      <c r="I3" s="7"/>
      <c r="J3" s="7">
        <v>26200</v>
      </c>
      <c r="K3" s="7">
        <v>19500</v>
      </c>
      <c r="L3" s="8">
        <f>ROUND(K3/31,0)</f>
        <v>629</v>
      </c>
      <c r="M3" s="8">
        <f>ROUND(N3/31,0)</f>
        <v>216</v>
      </c>
      <c r="N3" s="9">
        <f>1000+1000+2000+700+2000</f>
        <v>6700</v>
      </c>
      <c r="O3" s="8">
        <f>L3*F3</f>
        <v>19499</v>
      </c>
      <c r="P3" s="8">
        <f>O3*1</f>
        <v>19499</v>
      </c>
      <c r="Q3" s="10">
        <v>0</v>
      </c>
      <c r="R3" s="8">
        <f>(1000+1000+2000+700+2000)/31*F3</f>
        <v>6700</v>
      </c>
      <c r="S3" s="9">
        <f t="shared" ref="S3:S14" si="0">(L3+M3)*H3</f>
        <v>0</v>
      </c>
      <c r="T3" s="8"/>
      <c r="U3" s="8">
        <f t="shared" ref="U3:U37" si="1">P3+Q3+S3+R3+T3</f>
        <v>26199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26199</v>
      </c>
      <c r="Z3" s="11">
        <f>IF(U3&gt;40000,200,IF(U3&gt;25000,150,IF(U3&gt;15000,130,IF(U3&gt;10000,110,0))))</f>
        <v>150</v>
      </c>
      <c r="AA3" s="12">
        <v>130</v>
      </c>
      <c r="AB3" s="8"/>
      <c r="AC3" s="10"/>
      <c r="AD3" s="10"/>
      <c r="AE3" s="13">
        <f>U3-W3-X3-Z3-AB3</f>
        <v>26049</v>
      </c>
      <c r="AF3" s="14"/>
    </row>
    <row r="4" spans="1:34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30</v>
      </c>
      <c r="G4" s="7">
        <f t="shared" ref="G4:G52" si="2">31-F4</f>
        <v>1</v>
      </c>
      <c r="H4" s="6"/>
      <c r="I4" s="6"/>
      <c r="J4" s="6">
        <f>13500+500</f>
        <v>14000</v>
      </c>
      <c r="K4" s="6">
        <f>11000</f>
        <v>11000</v>
      </c>
      <c r="L4" s="8">
        <f t="shared" ref="L4:L14" si="3">ROUND(K4/31,0)</f>
        <v>355</v>
      </c>
      <c r="M4" s="8">
        <f t="shared" ref="M4:M14" si="4">ROUND(N4/31,0)</f>
        <v>97</v>
      </c>
      <c r="N4" s="16">
        <f>2000+500+500</f>
        <v>3000</v>
      </c>
      <c r="O4" s="13">
        <f t="shared" ref="O4:O23" si="5">L4*F4</f>
        <v>10650</v>
      </c>
      <c r="P4" s="13">
        <f>O4*0.7</f>
        <v>7454.9999999999991</v>
      </c>
      <c r="Q4" s="13">
        <f t="shared" ref="Q4:Q5" si="6">O4*0.3</f>
        <v>3195</v>
      </c>
      <c r="R4" s="13">
        <f>(1000+600+400+500)/31*F4</f>
        <v>2419.3548387096771</v>
      </c>
      <c r="S4" s="16">
        <f>(L4+M4)*H4+500</f>
        <v>500</v>
      </c>
      <c r="T4" s="13"/>
      <c r="U4" s="8">
        <f t="shared" si="1"/>
        <v>13569.354838709678</v>
      </c>
      <c r="V4" s="13">
        <f>P4</f>
        <v>7454.9999999999991</v>
      </c>
      <c r="W4" s="13">
        <f>ROUND(IF(V4&lt;=15000,V4*12%,IF(V4&gt;15000,0)),0)</f>
        <v>895</v>
      </c>
      <c r="X4" s="8">
        <f t="shared" ref="X4:X52" si="7">IF(J4&lt;=21000,ROUNDUP(O4*0.75%,0),0)</f>
        <v>80</v>
      </c>
      <c r="Y4" s="8">
        <f t="shared" ref="Y4:Y51" si="8">U4-W4-X4</f>
        <v>12594.354838709678</v>
      </c>
      <c r="Z4" s="11">
        <f t="shared" ref="Z4:Z51" si="9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12484.354838709678</v>
      </c>
      <c r="AF4" s="14"/>
    </row>
    <row r="5" spans="1:34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31</v>
      </c>
      <c r="G5" s="7">
        <f t="shared" si="2"/>
        <v>0</v>
      </c>
      <c r="H5" s="7"/>
      <c r="I5" s="7"/>
      <c r="J5" s="7">
        <v>16950</v>
      </c>
      <c r="K5" s="7">
        <f>11000+1000</f>
        <v>12000</v>
      </c>
      <c r="L5" s="8">
        <f t="shared" si="3"/>
        <v>387</v>
      </c>
      <c r="M5" s="8">
        <f t="shared" si="4"/>
        <v>160</v>
      </c>
      <c r="N5" s="9">
        <f>1000+1000+1500+700+750</f>
        <v>4950</v>
      </c>
      <c r="O5" s="8">
        <f t="shared" si="5"/>
        <v>11997</v>
      </c>
      <c r="P5" s="8">
        <f>O5*0.7</f>
        <v>8397.9</v>
      </c>
      <c r="Q5" s="13">
        <f t="shared" si="6"/>
        <v>3599.1</v>
      </c>
      <c r="R5" s="8">
        <f>(1000+1000+1500+700+750)/31*F5</f>
        <v>4950</v>
      </c>
      <c r="S5" s="9">
        <f t="shared" si="0"/>
        <v>0</v>
      </c>
      <c r="T5" s="8"/>
      <c r="U5" s="8">
        <f t="shared" si="1"/>
        <v>16947</v>
      </c>
      <c r="V5" s="8">
        <f>P5</f>
        <v>8397.9</v>
      </c>
      <c r="W5" s="8">
        <f>ROUND(IF(V5&lt;=15000,V5*12%,IF(V5&gt;15000,0)),0)</f>
        <v>1008</v>
      </c>
      <c r="X5" s="8">
        <f t="shared" si="7"/>
        <v>90</v>
      </c>
      <c r="Y5" s="8">
        <f t="shared" si="8"/>
        <v>15849</v>
      </c>
      <c r="Z5" s="11">
        <f t="shared" si="9"/>
        <v>130</v>
      </c>
      <c r="AA5" s="17">
        <v>110</v>
      </c>
      <c r="AB5" s="10"/>
      <c r="AC5" s="10"/>
      <c r="AD5" s="10"/>
      <c r="AE5" s="13">
        <f>U5-W5-X5-Z5-AB5</f>
        <v>15719</v>
      </c>
      <c r="AF5" s="14"/>
    </row>
    <row r="6" spans="1:34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25</v>
      </c>
      <c r="G6" s="7">
        <f t="shared" si="2"/>
        <v>6</v>
      </c>
      <c r="H6" s="6"/>
      <c r="I6" s="6"/>
      <c r="J6" s="6">
        <v>22700</v>
      </c>
      <c r="K6" s="6">
        <f>16000+1000</f>
        <v>17000</v>
      </c>
      <c r="L6" s="8">
        <f t="shared" si="3"/>
        <v>548</v>
      </c>
      <c r="M6" s="8">
        <f t="shared" si="4"/>
        <v>184</v>
      </c>
      <c r="N6" s="16">
        <f>1000+1000+1500+700+1500</f>
        <v>5700</v>
      </c>
      <c r="O6" s="13">
        <f t="shared" si="5"/>
        <v>13700</v>
      </c>
      <c r="P6" s="13">
        <f>O6*1</f>
        <v>13700</v>
      </c>
      <c r="Q6" s="13">
        <v>0</v>
      </c>
      <c r="R6" s="13">
        <f>(1000+1000+1500+700+1500)/31*F6</f>
        <v>4596.7741935483873</v>
      </c>
      <c r="S6" s="16">
        <f t="shared" si="0"/>
        <v>0</v>
      </c>
      <c r="T6" s="13"/>
      <c r="U6" s="13">
        <f t="shared" si="1"/>
        <v>18296.774193548386</v>
      </c>
      <c r="V6" s="8">
        <v>0</v>
      </c>
      <c r="W6" s="8">
        <f>ROUND(IF(V6&lt;=15000,V6*12%,IF(V6&gt;15000,0)),0)</f>
        <v>0</v>
      </c>
      <c r="X6" s="8">
        <f>IF(O6&lt;=21000,ROUNDUP(O6*0.75%,0),0)</f>
        <v>103</v>
      </c>
      <c r="Y6" s="13">
        <f t="shared" si="8"/>
        <v>18193.774193548386</v>
      </c>
      <c r="Z6" s="11">
        <f t="shared" si="9"/>
        <v>130</v>
      </c>
      <c r="AA6" s="17">
        <f t="shared" ref="AA6:AA49" si="10">Z6</f>
        <v>130</v>
      </c>
      <c r="AB6" s="13"/>
      <c r="AC6" s="18"/>
      <c r="AD6" s="18"/>
      <c r="AE6" s="13">
        <f>U6-W6-X6-Z6-AB6</f>
        <v>18063.774193548386</v>
      </c>
      <c r="AF6" s="14"/>
    </row>
    <row r="7" spans="1:34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31</v>
      </c>
      <c r="G7" s="7">
        <f t="shared" si="2"/>
        <v>0</v>
      </c>
      <c r="H7" s="7"/>
      <c r="I7" s="7"/>
      <c r="J7" s="7">
        <v>14500</v>
      </c>
      <c r="K7" s="7">
        <f>9500+700</f>
        <v>10200</v>
      </c>
      <c r="L7" s="8">
        <f t="shared" si="3"/>
        <v>329</v>
      </c>
      <c r="M7" s="8">
        <f t="shared" si="4"/>
        <v>139</v>
      </c>
      <c r="N7" s="9">
        <f>2800+1500</f>
        <v>4300</v>
      </c>
      <c r="O7" s="8">
        <f t="shared" si="5"/>
        <v>10199</v>
      </c>
      <c r="P7" s="8">
        <f t="shared" ref="P7:P40" si="11">O7*0.7</f>
        <v>7139.2999999999993</v>
      </c>
      <c r="Q7" s="13">
        <f>O7*0.3</f>
        <v>3059.7</v>
      </c>
      <c r="R7" s="8">
        <f>(800+1000+1000+1500)/31*F7</f>
        <v>4300</v>
      </c>
      <c r="S7" s="9">
        <f t="shared" si="0"/>
        <v>0</v>
      </c>
      <c r="T7" s="8"/>
      <c r="U7" s="8">
        <f t="shared" si="1"/>
        <v>14499</v>
      </c>
      <c r="V7" s="8">
        <f>P7</f>
        <v>7139.2999999999993</v>
      </c>
      <c r="W7" s="8">
        <f t="shared" ref="W7:W38" si="12">ROUND(IF(V7&lt;=15000,V7*12%,IF(V7&gt;15000,0)),0)</f>
        <v>857</v>
      </c>
      <c r="X7" s="8">
        <f t="shared" si="7"/>
        <v>77</v>
      </c>
      <c r="Y7" s="8">
        <f t="shared" si="8"/>
        <v>13565</v>
      </c>
      <c r="Z7" s="11">
        <f t="shared" si="9"/>
        <v>110</v>
      </c>
      <c r="AA7" s="17">
        <v>110</v>
      </c>
      <c r="AB7" s="8"/>
      <c r="AC7" s="8"/>
      <c r="AD7" s="8"/>
      <c r="AE7" s="13">
        <f>(U7-W7-X7-Z7-AB7)</f>
        <v>13455</v>
      </c>
      <c r="AF7" s="14"/>
    </row>
    <row r="8" spans="1:34" s="35" customFormat="1" ht="18" customHeight="1" x14ac:dyDescent="0.25">
      <c r="A8" s="15">
        <v>6</v>
      </c>
      <c r="B8" s="15">
        <v>6</v>
      </c>
      <c r="C8" s="6" t="s">
        <v>100</v>
      </c>
      <c r="D8" s="6" t="s">
        <v>39</v>
      </c>
      <c r="E8" s="6"/>
      <c r="F8" s="6">
        <v>31</v>
      </c>
      <c r="G8" s="7">
        <f t="shared" si="2"/>
        <v>0</v>
      </c>
      <c r="H8" s="6"/>
      <c r="I8" s="6"/>
      <c r="J8" s="6">
        <v>27000</v>
      </c>
      <c r="K8" s="6">
        <v>15500</v>
      </c>
      <c r="L8" s="8">
        <f t="shared" si="3"/>
        <v>500</v>
      </c>
      <c r="M8" s="8">
        <f t="shared" si="4"/>
        <v>187</v>
      </c>
      <c r="N8" s="16">
        <v>5800</v>
      </c>
      <c r="O8" s="13">
        <f t="shared" si="5"/>
        <v>15500</v>
      </c>
      <c r="P8" s="13">
        <f>O8*1</f>
        <v>15500</v>
      </c>
      <c r="Q8" s="82" t="s">
        <v>54</v>
      </c>
      <c r="R8" s="13">
        <f>(11500)/31*F8</f>
        <v>11500</v>
      </c>
      <c r="S8" s="16">
        <f t="shared" si="0"/>
        <v>0</v>
      </c>
      <c r="T8" s="13"/>
      <c r="U8" s="13">
        <f>P8+S8+R8+T8</f>
        <v>27000</v>
      </c>
      <c r="V8" s="13">
        <v>0</v>
      </c>
      <c r="W8" s="13">
        <f>IF(V8&lt;=15000,V8*12%,IF(V8&gt;15000,0))</f>
        <v>0</v>
      </c>
      <c r="X8" s="13">
        <f t="shared" si="7"/>
        <v>0</v>
      </c>
      <c r="Y8" s="13">
        <f t="shared" si="8"/>
        <v>27000</v>
      </c>
      <c r="Z8" s="11">
        <f t="shared" si="9"/>
        <v>150</v>
      </c>
      <c r="AA8" s="17">
        <v>110</v>
      </c>
      <c r="AB8" s="13"/>
      <c r="AC8" s="13"/>
      <c r="AD8" s="13"/>
      <c r="AE8" s="13">
        <f>(U8-W8-X8-Z8-AB8)</f>
        <v>26850</v>
      </c>
      <c r="AF8" s="14"/>
    </row>
    <row r="9" spans="1:34" ht="18" x14ac:dyDescent="0.25">
      <c r="A9" s="15">
        <v>8</v>
      </c>
      <c r="B9" s="15">
        <v>7</v>
      </c>
      <c r="C9" s="6" t="s">
        <v>42</v>
      </c>
      <c r="D9" s="6" t="s">
        <v>31</v>
      </c>
      <c r="E9" s="6"/>
      <c r="F9" s="7">
        <v>29</v>
      </c>
      <c r="G9" s="7">
        <f t="shared" si="2"/>
        <v>2</v>
      </c>
      <c r="H9" s="6"/>
      <c r="I9" s="6"/>
      <c r="J9" s="6">
        <f>30000+2000</f>
        <v>32000</v>
      </c>
      <c r="K9" s="6">
        <v>28000</v>
      </c>
      <c r="L9" s="8">
        <f t="shared" si="3"/>
        <v>903</v>
      </c>
      <c r="M9" s="8">
        <f t="shared" si="4"/>
        <v>129</v>
      </c>
      <c r="N9" s="16">
        <f>2000+2000</f>
        <v>4000</v>
      </c>
      <c r="O9" s="13">
        <f t="shared" si="5"/>
        <v>26187</v>
      </c>
      <c r="P9" s="13">
        <f>O9*1</f>
        <v>26187</v>
      </c>
      <c r="Q9" s="13">
        <f>O9*0</f>
        <v>0</v>
      </c>
      <c r="R9" s="8">
        <f>(2000+2000)/31*F9</f>
        <v>3741.9354838709678</v>
      </c>
      <c r="S9" s="16">
        <f t="shared" si="0"/>
        <v>0</v>
      </c>
      <c r="T9" s="13"/>
      <c r="U9" s="8">
        <f t="shared" si="1"/>
        <v>29928.93548387097</v>
      </c>
      <c r="V9" s="13">
        <v>0</v>
      </c>
      <c r="W9" s="13">
        <f t="shared" si="12"/>
        <v>0</v>
      </c>
      <c r="X9" s="8">
        <f t="shared" si="7"/>
        <v>0</v>
      </c>
      <c r="Y9" s="8">
        <f t="shared" si="8"/>
        <v>29928.93548387097</v>
      </c>
      <c r="Z9" s="11">
        <f t="shared" si="9"/>
        <v>150</v>
      </c>
      <c r="AA9" s="17">
        <v>150</v>
      </c>
      <c r="AB9" s="13"/>
      <c r="AC9" s="13"/>
      <c r="AD9" s="13"/>
      <c r="AE9" s="13">
        <f>U9-W9-X9-Z9-AB9-AC9</f>
        <v>29778.93548387097</v>
      </c>
      <c r="AF9" s="14"/>
    </row>
    <row r="10" spans="1:34" ht="18" x14ac:dyDescent="0.25">
      <c r="A10" s="15">
        <v>9</v>
      </c>
      <c r="B10" s="15">
        <v>8</v>
      </c>
      <c r="C10" s="6" t="s">
        <v>43</v>
      </c>
      <c r="D10" s="6" t="s">
        <v>33</v>
      </c>
      <c r="E10" s="6"/>
      <c r="F10" s="7">
        <v>30</v>
      </c>
      <c r="G10" s="7">
        <f t="shared" si="2"/>
        <v>1</v>
      </c>
      <c r="H10" s="6">
        <v>1</v>
      </c>
      <c r="I10" s="6"/>
      <c r="J10" s="6">
        <v>15500</v>
      </c>
      <c r="K10" s="6">
        <v>11000</v>
      </c>
      <c r="L10" s="8">
        <f t="shared" si="3"/>
        <v>355</v>
      </c>
      <c r="M10" s="8">
        <f t="shared" si="4"/>
        <v>145</v>
      </c>
      <c r="N10" s="16">
        <f>3000+1000+500</f>
        <v>4500</v>
      </c>
      <c r="O10" s="13">
        <f>L10*F10</f>
        <v>10650</v>
      </c>
      <c r="P10" s="13">
        <f t="shared" ref="P10" si="13">O10*0.7</f>
        <v>7454.9999999999991</v>
      </c>
      <c r="Q10" s="13">
        <f t="shared" ref="Q10:Q38" si="14">O10*0.3</f>
        <v>3195</v>
      </c>
      <c r="R10" s="8">
        <f>(3000+1000+500)/31*F10</f>
        <v>4354.8387096774195</v>
      </c>
      <c r="S10" s="16">
        <f t="shared" si="0"/>
        <v>500</v>
      </c>
      <c r="T10" s="13"/>
      <c r="U10" s="8">
        <f t="shared" si="1"/>
        <v>15504.83870967742</v>
      </c>
      <c r="V10" s="13">
        <f t="shared" ref="V10:V37" si="15">P10</f>
        <v>7454.9999999999991</v>
      </c>
      <c r="W10" s="13">
        <f t="shared" si="12"/>
        <v>895</v>
      </c>
      <c r="X10" s="8">
        <f t="shared" si="7"/>
        <v>80</v>
      </c>
      <c r="Y10" s="8">
        <f t="shared" si="8"/>
        <v>14529.83870967742</v>
      </c>
      <c r="Z10" s="11">
        <f t="shared" si="9"/>
        <v>130</v>
      </c>
      <c r="AA10" s="17">
        <v>130</v>
      </c>
      <c r="AB10" s="13"/>
      <c r="AC10" s="13"/>
      <c r="AD10" s="13"/>
      <c r="AE10" s="13">
        <f t="shared" ref="AE10:AE16" si="16">U10-W10-X10-Z10-AB10</f>
        <v>14399.83870967742</v>
      </c>
      <c r="AF10" s="14"/>
    </row>
    <row r="11" spans="1:34" s="42" customFormat="1" ht="18" x14ac:dyDescent="0.25">
      <c r="A11" s="19">
        <v>10</v>
      </c>
      <c r="B11" s="19">
        <v>9</v>
      </c>
      <c r="C11" s="20" t="s">
        <v>45</v>
      </c>
      <c r="D11" s="20" t="s">
        <v>46</v>
      </c>
      <c r="E11" s="20"/>
      <c r="F11" s="20"/>
      <c r="G11" s="20">
        <f t="shared" si="2"/>
        <v>31</v>
      </c>
      <c r="H11" s="20"/>
      <c r="I11" s="20"/>
      <c r="J11" s="20">
        <v>19000</v>
      </c>
      <c r="K11" s="20">
        <f>13500+1200+1000</f>
        <v>15700</v>
      </c>
      <c r="L11" s="21">
        <f t="shared" si="3"/>
        <v>506</v>
      </c>
      <c r="M11" s="21">
        <f t="shared" si="4"/>
        <v>106</v>
      </c>
      <c r="N11" s="22">
        <f>1000+1300+1000</f>
        <v>3300</v>
      </c>
      <c r="O11" s="21">
        <f>L11*F11</f>
        <v>0</v>
      </c>
      <c r="P11" s="21">
        <f t="shared" si="11"/>
        <v>0</v>
      </c>
      <c r="Q11" s="21">
        <f t="shared" si="14"/>
        <v>0</v>
      </c>
      <c r="R11" s="21">
        <f>(1000+1300+1000)/31*F11</f>
        <v>0</v>
      </c>
      <c r="S11" s="22">
        <f t="shared" si="0"/>
        <v>0</v>
      </c>
      <c r="T11" s="21"/>
      <c r="U11" s="21">
        <f t="shared" si="1"/>
        <v>0</v>
      </c>
      <c r="V11" s="21">
        <f t="shared" si="15"/>
        <v>0</v>
      </c>
      <c r="W11" s="21">
        <f t="shared" si="12"/>
        <v>0</v>
      </c>
      <c r="X11" s="21">
        <f t="shared" si="7"/>
        <v>0</v>
      </c>
      <c r="Y11" s="21">
        <f t="shared" si="8"/>
        <v>0</v>
      </c>
      <c r="Z11" s="23">
        <f t="shared" si="9"/>
        <v>0</v>
      </c>
      <c r="AA11" s="24">
        <v>130</v>
      </c>
      <c r="AB11" s="21">
        <v>1500</v>
      </c>
      <c r="AC11" s="21"/>
      <c r="AD11" s="21"/>
      <c r="AE11" s="21">
        <f t="shared" si="16"/>
        <v>-1500</v>
      </c>
      <c r="AF11" s="70">
        <f>AE11-700</f>
        <v>-2200</v>
      </c>
    </row>
    <row r="12" spans="1:34" s="42" customFormat="1" ht="18" x14ac:dyDescent="0.25">
      <c r="A12" s="19">
        <v>11</v>
      </c>
      <c r="B12" s="19">
        <v>10</v>
      </c>
      <c r="C12" s="20" t="s">
        <v>47</v>
      </c>
      <c r="D12" s="20"/>
      <c r="E12" s="20"/>
      <c r="F12" s="20">
        <v>30</v>
      </c>
      <c r="G12" s="20">
        <f t="shared" si="2"/>
        <v>1</v>
      </c>
      <c r="H12" s="20"/>
      <c r="I12" s="20"/>
      <c r="J12" s="20">
        <v>7000</v>
      </c>
      <c r="K12" s="20">
        <f>5500+500</f>
        <v>6000</v>
      </c>
      <c r="L12" s="21">
        <f t="shared" si="3"/>
        <v>194</v>
      </c>
      <c r="M12" s="21">
        <f t="shared" si="4"/>
        <v>32</v>
      </c>
      <c r="N12" s="22">
        <f>500+500</f>
        <v>1000</v>
      </c>
      <c r="O12" s="21">
        <f>L12*F12</f>
        <v>5820</v>
      </c>
      <c r="P12" s="21">
        <f t="shared" si="11"/>
        <v>4073.9999999999995</v>
      </c>
      <c r="Q12" s="21">
        <f t="shared" si="14"/>
        <v>1746</v>
      </c>
      <c r="R12" s="21">
        <f>(500+500)/31*F12</f>
        <v>967.74193548387098</v>
      </c>
      <c r="S12" s="22">
        <f t="shared" si="0"/>
        <v>0</v>
      </c>
      <c r="T12" s="21"/>
      <c r="U12" s="21">
        <f t="shared" si="1"/>
        <v>6787.7419354838712</v>
      </c>
      <c r="V12" s="21">
        <f t="shared" si="15"/>
        <v>4073.9999999999995</v>
      </c>
      <c r="W12" s="21">
        <f t="shared" si="12"/>
        <v>489</v>
      </c>
      <c r="X12" s="21">
        <f t="shared" si="7"/>
        <v>44</v>
      </c>
      <c r="Y12" s="21">
        <f t="shared" si="8"/>
        <v>6254.7419354838712</v>
      </c>
      <c r="Z12" s="23">
        <f t="shared" si="9"/>
        <v>0</v>
      </c>
      <c r="AA12" s="24">
        <f t="shared" si="10"/>
        <v>0</v>
      </c>
      <c r="AB12" s="21">
        <v>500</v>
      </c>
      <c r="AC12" s="21"/>
      <c r="AD12" s="21"/>
      <c r="AE12" s="21">
        <f t="shared" si="16"/>
        <v>5754.7419354838712</v>
      </c>
      <c r="AF12" s="71"/>
    </row>
    <row r="13" spans="1:34" ht="18.75" x14ac:dyDescent="0.3">
      <c r="A13" s="15">
        <v>12</v>
      </c>
      <c r="B13" s="15">
        <v>11</v>
      </c>
      <c r="C13" s="6" t="s">
        <v>48</v>
      </c>
      <c r="D13" s="6"/>
      <c r="E13" s="6"/>
      <c r="F13" s="7">
        <v>27</v>
      </c>
      <c r="G13" s="7">
        <f t="shared" si="2"/>
        <v>4</v>
      </c>
      <c r="H13" s="6"/>
      <c r="I13" s="27" t="s">
        <v>49</v>
      </c>
      <c r="J13" s="27"/>
      <c r="K13" s="6"/>
      <c r="L13" s="13">
        <v>320</v>
      </c>
      <c r="M13" s="16">
        <f>20+15</f>
        <v>35</v>
      </c>
      <c r="N13" s="16"/>
      <c r="O13" s="13">
        <f t="shared" ref="O13:O19" si="17">L13*F13</f>
        <v>8640</v>
      </c>
      <c r="P13" s="13">
        <f t="shared" si="11"/>
        <v>6048</v>
      </c>
      <c r="Q13" s="13">
        <f t="shared" si="14"/>
        <v>2592</v>
      </c>
      <c r="R13" s="13">
        <f>M13*F13</f>
        <v>945</v>
      </c>
      <c r="S13" s="13">
        <f>H13*(L13+M13)</f>
        <v>0</v>
      </c>
      <c r="T13" s="13"/>
      <c r="U13" s="8">
        <f t="shared" si="1"/>
        <v>9585</v>
      </c>
      <c r="V13" s="13">
        <f t="shared" si="15"/>
        <v>6048</v>
      </c>
      <c r="W13" s="13">
        <f t="shared" si="12"/>
        <v>726</v>
      </c>
      <c r="X13" s="8">
        <f t="shared" si="7"/>
        <v>65</v>
      </c>
      <c r="Y13" s="8">
        <f t="shared" si="8"/>
        <v>8794</v>
      </c>
      <c r="Z13" s="11">
        <f t="shared" si="9"/>
        <v>0</v>
      </c>
      <c r="AA13" s="17"/>
      <c r="AB13" s="13"/>
      <c r="AC13" s="13"/>
      <c r="AD13" s="13"/>
      <c r="AE13" s="13">
        <f>U13-W13-X13-Z13-AB13-AC13</f>
        <v>8794</v>
      </c>
      <c r="AF13" s="14"/>
      <c r="AG13" s="72"/>
      <c r="AH13" s="73"/>
    </row>
    <row r="14" spans="1:34" ht="18.75" x14ac:dyDescent="0.3">
      <c r="A14" s="28">
        <v>13</v>
      </c>
      <c r="B14" s="28">
        <v>12</v>
      </c>
      <c r="C14" s="29" t="s">
        <v>50</v>
      </c>
      <c r="D14" s="29" t="s">
        <v>51</v>
      </c>
      <c r="E14" s="29"/>
      <c r="F14" s="7">
        <v>20</v>
      </c>
      <c r="G14" s="7">
        <f t="shared" si="2"/>
        <v>11</v>
      </c>
      <c r="H14" s="29"/>
      <c r="I14" s="29"/>
      <c r="J14" s="29">
        <v>6800</v>
      </c>
      <c r="K14" s="29">
        <f>6500</f>
        <v>6500</v>
      </c>
      <c r="L14" s="8">
        <f t="shared" si="3"/>
        <v>210</v>
      </c>
      <c r="M14" s="8">
        <f t="shared" si="4"/>
        <v>10</v>
      </c>
      <c r="N14" s="31">
        <v>300</v>
      </c>
      <c r="O14" s="30">
        <f t="shared" si="17"/>
        <v>4200</v>
      </c>
      <c r="P14" s="30">
        <f t="shared" si="11"/>
        <v>2940</v>
      </c>
      <c r="Q14" s="30">
        <f t="shared" si="14"/>
        <v>1260</v>
      </c>
      <c r="R14" s="30">
        <f>300/31*F14</f>
        <v>193.54838709677421</v>
      </c>
      <c r="S14" s="31">
        <f t="shared" si="0"/>
        <v>0</v>
      </c>
      <c r="T14" s="30"/>
      <c r="U14" s="8">
        <f t="shared" si="1"/>
        <v>4393.5483870967746</v>
      </c>
      <c r="V14" s="30">
        <f t="shared" si="15"/>
        <v>2940</v>
      </c>
      <c r="W14" s="30">
        <f t="shared" si="12"/>
        <v>353</v>
      </c>
      <c r="X14" s="8">
        <f t="shared" si="7"/>
        <v>32</v>
      </c>
      <c r="Y14" s="8">
        <f t="shared" si="8"/>
        <v>4008.5483870967746</v>
      </c>
      <c r="Z14" s="11">
        <f t="shared" si="9"/>
        <v>0</v>
      </c>
      <c r="AA14" s="32">
        <f t="shared" si="10"/>
        <v>0</v>
      </c>
      <c r="AB14" s="30"/>
      <c r="AC14" s="30"/>
      <c r="AD14" s="30"/>
      <c r="AE14" s="30">
        <f t="shared" si="16"/>
        <v>4008.5483870967746</v>
      </c>
      <c r="AF14" s="14"/>
      <c r="AG14" s="72"/>
      <c r="AH14" s="73"/>
    </row>
    <row r="15" spans="1:34" ht="18.75" x14ac:dyDescent="0.3">
      <c r="A15" s="15">
        <v>14</v>
      </c>
      <c r="B15" s="15">
        <v>13</v>
      </c>
      <c r="C15" s="6" t="s">
        <v>52</v>
      </c>
      <c r="D15" s="6" t="s">
        <v>51</v>
      </c>
      <c r="E15" s="6"/>
      <c r="F15" s="7">
        <v>29</v>
      </c>
      <c r="G15" s="7">
        <f t="shared" si="2"/>
        <v>2</v>
      </c>
      <c r="H15" s="6"/>
      <c r="I15" s="27" t="s">
        <v>53</v>
      </c>
      <c r="J15" s="27"/>
      <c r="K15" s="6"/>
      <c r="L15" s="13">
        <v>320</v>
      </c>
      <c r="M15" s="16">
        <v>15</v>
      </c>
      <c r="N15" s="16"/>
      <c r="O15" s="13">
        <f t="shared" si="17"/>
        <v>9280</v>
      </c>
      <c r="P15" s="13">
        <f t="shared" si="11"/>
        <v>6496</v>
      </c>
      <c r="Q15" s="13">
        <f t="shared" si="14"/>
        <v>2784</v>
      </c>
      <c r="R15" s="13">
        <f>15*F15</f>
        <v>435</v>
      </c>
      <c r="S15" s="13">
        <f t="shared" ref="S15:S50" si="18">H15*(L15+M15)</f>
        <v>0</v>
      </c>
      <c r="T15" s="13"/>
      <c r="U15" s="8">
        <f t="shared" si="1"/>
        <v>9715</v>
      </c>
      <c r="V15" s="13">
        <f t="shared" si="15"/>
        <v>6496</v>
      </c>
      <c r="W15" s="13">
        <f t="shared" si="12"/>
        <v>780</v>
      </c>
      <c r="X15" s="8">
        <f t="shared" si="7"/>
        <v>70</v>
      </c>
      <c r="Y15" s="8">
        <f t="shared" si="8"/>
        <v>8865</v>
      </c>
      <c r="Z15" s="11">
        <f t="shared" si="9"/>
        <v>0</v>
      </c>
      <c r="AA15" s="17" t="s">
        <v>54</v>
      </c>
      <c r="AB15" s="13"/>
      <c r="AC15" s="13"/>
      <c r="AD15" s="13"/>
      <c r="AE15" s="13">
        <f t="shared" si="16"/>
        <v>8865</v>
      </c>
      <c r="AF15" s="14"/>
      <c r="AG15" s="72"/>
      <c r="AH15" s="73"/>
    </row>
    <row r="16" spans="1:34" ht="18.75" x14ac:dyDescent="0.3">
      <c r="A16" s="15">
        <v>15</v>
      </c>
      <c r="B16" s="15">
        <v>14</v>
      </c>
      <c r="C16" s="6" t="s">
        <v>55</v>
      </c>
      <c r="D16" s="6" t="s">
        <v>51</v>
      </c>
      <c r="E16" s="6"/>
      <c r="F16" s="7">
        <v>27</v>
      </c>
      <c r="G16" s="7">
        <f t="shared" si="2"/>
        <v>4</v>
      </c>
      <c r="H16" s="6"/>
      <c r="I16" s="27" t="s">
        <v>53</v>
      </c>
      <c r="J16" s="27"/>
      <c r="K16" s="6"/>
      <c r="L16" s="13">
        <v>320</v>
      </c>
      <c r="M16" s="16">
        <v>15</v>
      </c>
      <c r="N16" s="16"/>
      <c r="O16" s="13">
        <f t="shared" si="17"/>
        <v>8640</v>
      </c>
      <c r="P16" s="13">
        <f t="shared" si="11"/>
        <v>6048</v>
      </c>
      <c r="Q16" s="13">
        <f t="shared" si="14"/>
        <v>2592</v>
      </c>
      <c r="R16" s="13">
        <f>15*F16</f>
        <v>405</v>
      </c>
      <c r="S16" s="13">
        <f t="shared" si="18"/>
        <v>0</v>
      </c>
      <c r="T16" s="13"/>
      <c r="U16" s="8">
        <f t="shared" si="1"/>
        <v>9045</v>
      </c>
      <c r="V16" s="13">
        <f t="shared" si="15"/>
        <v>6048</v>
      </c>
      <c r="W16" s="13">
        <f t="shared" si="12"/>
        <v>726</v>
      </c>
      <c r="X16" s="8">
        <f t="shared" si="7"/>
        <v>65</v>
      </c>
      <c r="Y16" s="8">
        <f t="shared" si="8"/>
        <v>8254</v>
      </c>
      <c r="Z16" s="11">
        <f t="shared" si="9"/>
        <v>0</v>
      </c>
      <c r="AA16" s="17" t="s">
        <v>54</v>
      </c>
      <c r="AB16" s="13"/>
      <c r="AC16" s="13"/>
      <c r="AD16" s="13"/>
      <c r="AE16" s="13">
        <f t="shared" si="16"/>
        <v>8254</v>
      </c>
      <c r="AF16" s="14"/>
      <c r="AG16" s="72"/>
      <c r="AH16" s="73"/>
    </row>
    <row r="17" spans="1:34" ht="18.75" x14ac:dyDescent="0.3">
      <c r="A17" s="15">
        <v>19</v>
      </c>
      <c r="B17" s="15">
        <v>15</v>
      </c>
      <c r="C17" s="6" t="s">
        <v>56</v>
      </c>
      <c r="D17" s="6"/>
      <c r="E17" s="6"/>
      <c r="F17" s="7">
        <v>29</v>
      </c>
      <c r="G17" s="7">
        <f t="shared" si="2"/>
        <v>2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7"/>
        <v>9280</v>
      </c>
      <c r="P17" s="13">
        <f t="shared" si="11"/>
        <v>6496</v>
      </c>
      <c r="Q17" s="13">
        <f t="shared" si="14"/>
        <v>2784</v>
      </c>
      <c r="R17" s="13">
        <f>15*F17</f>
        <v>435</v>
      </c>
      <c r="S17" s="13">
        <f t="shared" si="18"/>
        <v>0</v>
      </c>
      <c r="T17" s="13"/>
      <c r="U17" s="8">
        <f t="shared" si="1"/>
        <v>9715</v>
      </c>
      <c r="V17" s="13">
        <f t="shared" si="15"/>
        <v>6496</v>
      </c>
      <c r="W17" s="13">
        <f t="shared" si="12"/>
        <v>780</v>
      </c>
      <c r="X17" s="8">
        <f t="shared" si="7"/>
        <v>70</v>
      </c>
      <c r="Y17" s="8">
        <f t="shared" si="8"/>
        <v>8865</v>
      </c>
      <c r="Z17" s="11">
        <f t="shared" si="9"/>
        <v>0</v>
      </c>
      <c r="AA17" s="17">
        <v>0</v>
      </c>
      <c r="AB17" s="13"/>
      <c r="AC17" s="13"/>
      <c r="AD17" s="13"/>
      <c r="AE17" s="30">
        <f>U17-W17-X17-Z17-AB17-AC17</f>
        <v>8865</v>
      </c>
      <c r="AF17" s="14"/>
      <c r="AG17" s="72"/>
      <c r="AH17" s="73"/>
    </row>
    <row r="18" spans="1:34" s="35" customFormat="1" ht="18.75" x14ac:dyDescent="0.3">
      <c r="A18" s="15">
        <v>20</v>
      </c>
      <c r="B18" s="15">
        <v>16</v>
      </c>
      <c r="C18" s="6" t="s">
        <v>57</v>
      </c>
      <c r="D18" s="6"/>
      <c r="E18" s="6"/>
      <c r="F18" s="6">
        <v>28</v>
      </c>
      <c r="G18" s="7">
        <f t="shared" si="2"/>
        <v>3</v>
      </c>
      <c r="H18" s="6"/>
      <c r="I18" s="27" t="s">
        <v>58</v>
      </c>
      <c r="J18" s="27"/>
      <c r="K18" s="6"/>
      <c r="L18" s="13">
        <v>320</v>
      </c>
      <c r="M18" s="16">
        <f>65+15</f>
        <v>80</v>
      </c>
      <c r="N18" s="16"/>
      <c r="O18" s="13">
        <f t="shared" si="17"/>
        <v>8960</v>
      </c>
      <c r="P18" s="13">
        <f t="shared" si="11"/>
        <v>6272</v>
      </c>
      <c r="Q18" s="13">
        <f t="shared" si="14"/>
        <v>2688</v>
      </c>
      <c r="R18" s="13">
        <f>(65+15)*F18</f>
        <v>2240</v>
      </c>
      <c r="S18" s="13">
        <f>H18*(L18+M18)</f>
        <v>0</v>
      </c>
      <c r="T18" s="13"/>
      <c r="U18" s="13">
        <f t="shared" si="1"/>
        <v>11200</v>
      </c>
      <c r="V18" s="13">
        <f t="shared" si="15"/>
        <v>6272</v>
      </c>
      <c r="W18" s="13">
        <f t="shared" si="12"/>
        <v>753</v>
      </c>
      <c r="X18" s="13">
        <f t="shared" si="7"/>
        <v>68</v>
      </c>
      <c r="Y18" s="13">
        <f t="shared" si="8"/>
        <v>10379</v>
      </c>
      <c r="Z18" s="11">
        <f t="shared" si="9"/>
        <v>110</v>
      </c>
      <c r="AA18" s="17">
        <f>Z18</f>
        <v>110</v>
      </c>
      <c r="AB18" s="13"/>
      <c r="AC18" s="13"/>
      <c r="AD18" s="13"/>
      <c r="AE18" s="13">
        <f>U18-W18-X18-Z18-AB18</f>
        <v>10269</v>
      </c>
      <c r="AF18" s="14"/>
      <c r="AG18" s="77"/>
      <c r="AH18" s="74"/>
    </row>
    <row r="19" spans="1:34" ht="18.75" x14ac:dyDescent="0.3">
      <c r="A19" s="15">
        <v>21</v>
      </c>
      <c r="B19" s="15">
        <v>17</v>
      </c>
      <c r="C19" s="33" t="s">
        <v>59</v>
      </c>
      <c r="D19" s="6"/>
      <c r="E19" s="6"/>
      <c r="F19" s="7">
        <v>28</v>
      </c>
      <c r="G19" s="7">
        <f t="shared" si="2"/>
        <v>3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7"/>
        <v>8960</v>
      </c>
      <c r="P19" s="13">
        <f t="shared" si="11"/>
        <v>6272</v>
      </c>
      <c r="Q19" s="13">
        <f t="shared" si="14"/>
        <v>2688</v>
      </c>
      <c r="R19" s="13">
        <f>15*F19</f>
        <v>420</v>
      </c>
      <c r="S19" s="13">
        <f t="shared" si="18"/>
        <v>0</v>
      </c>
      <c r="T19" s="13"/>
      <c r="U19" s="8">
        <f t="shared" si="1"/>
        <v>9380</v>
      </c>
      <c r="V19" s="13">
        <f t="shared" si="15"/>
        <v>6272</v>
      </c>
      <c r="W19" s="13">
        <f t="shared" si="12"/>
        <v>753</v>
      </c>
      <c r="X19" s="8">
        <f t="shared" si="7"/>
        <v>68</v>
      </c>
      <c r="Y19" s="8">
        <f t="shared" si="8"/>
        <v>8559</v>
      </c>
      <c r="Z19" s="11">
        <f t="shared" si="9"/>
        <v>0</v>
      </c>
      <c r="AA19" s="17"/>
      <c r="AB19" s="13"/>
      <c r="AC19" s="13"/>
      <c r="AD19" s="13"/>
      <c r="AE19" s="13">
        <f>U19-W19-X19-Z19-AB19-AC19</f>
        <v>8559</v>
      </c>
      <c r="AF19" s="14"/>
      <c r="AG19" s="72"/>
      <c r="AH19" s="73"/>
    </row>
    <row r="20" spans="1:34" s="35" customFormat="1" ht="18.75" x14ac:dyDescent="0.3">
      <c r="A20" s="28">
        <v>22</v>
      </c>
      <c r="B20" s="28">
        <v>18</v>
      </c>
      <c r="C20" s="29" t="s">
        <v>60</v>
      </c>
      <c r="D20" s="29" t="s">
        <v>51</v>
      </c>
      <c r="E20" s="29"/>
      <c r="F20" s="6">
        <v>31</v>
      </c>
      <c r="G20" s="7">
        <f t="shared" si="2"/>
        <v>0</v>
      </c>
      <c r="H20" s="29"/>
      <c r="I20" s="34" t="s">
        <v>49</v>
      </c>
      <c r="J20" s="34"/>
      <c r="K20" s="29"/>
      <c r="L20" s="30">
        <v>220</v>
      </c>
      <c r="M20" s="31">
        <v>10</v>
      </c>
      <c r="N20" s="31"/>
      <c r="O20" s="30">
        <f>L20*F20</f>
        <v>6820</v>
      </c>
      <c r="P20" s="30">
        <f t="shared" si="11"/>
        <v>4774</v>
      </c>
      <c r="Q20" s="30">
        <f t="shared" si="14"/>
        <v>2046</v>
      </c>
      <c r="R20" s="30">
        <f>10*F20</f>
        <v>310</v>
      </c>
      <c r="S20" s="30">
        <f t="shared" si="18"/>
        <v>0</v>
      </c>
      <c r="T20" s="30"/>
      <c r="U20" s="13">
        <f t="shared" si="1"/>
        <v>7130</v>
      </c>
      <c r="V20" s="30">
        <f t="shared" si="15"/>
        <v>4774</v>
      </c>
      <c r="W20" s="30">
        <f t="shared" si="12"/>
        <v>573</v>
      </c>
      <c r="X20" s="13">
        <f t="shared" si="7"/>
        <v>52</v>
      </c>
      <c r="Y20" s="13">
        <f t="shared" si="8"/>
        <v>6505</v>
      </c>
      <c r="Z20" s="11">
        <f t="shared" si="9"/>
        <v>0</v>
      </c>
      <c r="AA20" s="32"/>
      <c r="AB20" s="30"/>
      <c r="AC20" s="30"/>
      <c r="AD20" s="30"/>
      <c r="AE20" s="30">
        <f t="shared" ref="AE20:AE39" si="19">U20-W20-X20-Z20-AB20</f>
        <v>6505</v>
      </c>
      <c r="AF20" s="14"/>
      <c r="AG20" s="77"/>
      <c r="AH20" s="74"/>
    </row>
    <row r="21" spans="1:34" s="35" customFormat="1" ht="18.75" x14ac:dyDescent="0.3">
      <c r="A21" s="15">
        <v>23</v>
      </c>
      <c r="B21" s="15">
        <v>19</v>
      </c>
      <c r="C21" s="36" t="s">
        <v>61</v>
      </c>
      <c r="D21" s="6" t="s">
        <v>51</v>
      </c>
      <c r="E21" s="6"/>
      <c r="F21" s="6">
        <v>31</v>
      </c>
      <c r="G21" s="7">
        <f t="shared" si="2"/>
        <v>0</v>
      </c>
      <c r="H21" s="6"/>
      <c r="I21" s="27" t="s">
        <v>58</v>
      </c>
      <c r="J21" s="27"/>
      <c r="K21" s="6"/>
      <c r="L21" s="13">
        <v>220</v>
      </c>
      <c r="M21" s="16">
        <v>10</v>
      </c>
      <c r="N21" s="16"/>
      <c r="O21" s="13">
        <f t="shared" si="5"/>
        <v>6820</v>
      </c>
      <c r="P21" s="13">
        <f t="shared" si="11"/>
        <v>4774</v>
      </c>
      <c r="Q21" s="13">
        <f t="shared" si="14"/>
        <v>2046</v>
      </c>
      <c r="R21" s="13">
        <f>10*F21</f>
        <v>310</v>
      </c>
      <c r="S21" s="13">
        <f t="shared" si="18"/>
        <v>0</v>
      </c>
      <c r="T21" s="13"/>
      <c r="U21" s="13">
        <f t="shared" si="1"/>
        <v>7130</v>
      </c>
      <c r="V21" s="13">
        <f t="shared" si="15"/>
        <v>4774</v>
      </c>
      <c r="W21" s="13">
        <f t="shared" si="12"/>
        <v>573</v>
      </c>
      <c r="X21" s="13">
        <f t="shared" si="7"/>
        <v>52</v>
      </c>
      <c r="Y21" s="13">
        <f t="shared" si="8"/>
        <v>6505</v>
      </c>
      <c r="Z21" s="11">
        <f t="shared" si="9"/>
        <v>0</v>
      </c>
      <c r="AA21" s="17">
        <v>110</v>
      </c>
      <c r="AB21" s="13"/>
      <c r="AC21" s="13"/>
      <c r="AD21" s="13"/>
      <c r="AE21" s="13">
        <f t="shared" si="19"/>
        <v>6505</v>
      </c>
      <c r="AF21" s="14"/>
      <c r="AG21" s="77"/>
      <c r="AH21" s="74"/>
    </row>
    <row r="22" spans="1:34" s="35" customFormat="1" ht="18.75" x14ac:dyDescent="0.3">
      <c r="A22" s="15">
        <v>24</v>
      </c>
      <c r="B22" s="15">
        <v>20</v>
      </c>
      <c r="C22" s="6" t="s">
        <v>62</v>
      </c>
      <c r="D22" s="6"/>
      <c r="E22" s="6"/>
      <c r="F22" s="6">
        <v>30</v>
      </c>
      <c r="G22" s="7">
        <f t="shared" si="2"/>
        <v>1</v>
      </c>
      <c r="H22" s="6"/>
      <c r="I22" s="27" t="s">
        <v>58</v>
      </c>
      <c r="J22" s="27"/>
      <c r="K22" s="6"/>
      <c r="L22" s="13">
        <v>335</v>
      </c>
      <c r="M22" s="16">
        <f>25+25+15</f>
        <v>65</v>
      </c>
      <c r="N22" s="16"/>
      <c r="O22" s="13">
        <f t="shared" si="5"/>
        <v>10050</v>
      </c>
      <c r="P22" s="13">
        <f t="shared" si="11"/>
        <v>7035</v>
      </c>
      <c r="Q22" s="13">
        <f t="shared" si="14"/>
        <v>3015</v>
      </c>
      <c r="R22" s="13">
        <f>M22*F22</f>
        <v>1950</v>
      </c>
      <c r="S22" s="13">
        <f t="shared" si="18"/>
        <v>0</v>
      </c>
      <c r="T22" s="13"/>
      <c r="U22" s="13">
        <f t="shared" si="1"/>
        <v>12000</v>
      </c>
      <c r="V22" s="13">
        <f t="shared" si="15"/>
        <v>7035</v>
      </c>
      <c r="W22" s="13">
        <f t="shared" si="12"/>
        <v>844</v>
      </c>
      <c r="X22" s="13">
        <f t="shared" si="7"/>
        <v>76</v>
      </c>
      <c r="Y22" s="13">
        <f t="shared" si="8"/>
        <v>11080</v>
      </c>
      <c r="Z22" s="11">
        <f t="shared" si="9"/>
        <v>110</v>
      </c>
      <c r="AA22" s="17"/>
      <c r="AB22" s="13"/>
      <c r="AC22" s="13"/>
      <c r="AD22" s="13"/>
      <c r="AE22" s="13">
        <f>U22-W22-X22-Z22-AB22-AC22</f>
        <v>10970</v>
      </c>
      <c r="AF22" s="14"/>
      <c r="AG22" s="77"/>
      <c r="AH22" s="74"/>
    </row>
    <row r="23" spans="1:34" ht="18.75" x14ac:dyDescent="0.3">
      <c r="A23" s="15">
        <v>25</v>
      </c>
      <c r="B23" s="15">
        <v>21</v>
      </c>
      <c r="C23" s="6" t="s">
        <v>63</v>
      </c>
      <c r="D23" s="6" t="s">
        <v>51</v>
      </c>
      <c r="E23" s="6"/>
      <c r="F23" s="7">
        <v>27</v>
      </c>
      <c r="G23" s="7">
        <f t="shared" si="2"/>
        <v>4</v>
      </c>
      <c r="H23" s="6"/>
      <c r="I23" s="27" t="s">
        <v>58</v>
      </c>
      <c r="J23" s="27"/>
      <c r="K23" s="6"/>
      <c r="L23" s="13">
        <v>335</v>
      </c>
      <c r="M23" s="16">
        <f>25+25+15</f>
        <v>65</v>
      </c>
      <c r="N23" s="16"/>
      <c r="O23" s="13">
        <f t="shared" si="5"/>
        <v>9045</v>
      </c>
      <c r="P23" s="13">
        <f t="shared" si="11"/>
        <v>6331.5</v>
      </c>
      <c r="Q23" s="13">
        <f t="shared" si="14"/>
        <v>2713.5</v>
      </c>
      <c r="R23" s="13">
        <f>M23*F23</f>
        <v>1755</v>
      </c>
      <c r="S23" s="13">
        <f t="shared" si="18"/>
        <v>0</v>
      </c>
      <c r="T23" s="13"/>
      <c r="U23" s="8">
        <f t="shared" si="1"/>
        <v>10800</v>
      </c>
      <c r="V23" s="13">
        <f t="shared" si="15"/>
        <v>6331.5</v>
      </c>
      <c r="W23" s="13">
        <f t="shared" si="12"/>
        <v>760</v>
      </c>
      <c r="X23" s="8">
        <f t="shared" si="7"/>
        <v>68</v>
      </c>
      <c r="Y23" s="8">
        <f t="shared" si="8"/>
        <v>9972</v>
      </c>
      <c r="Z23" s="11">
        <f t="shared" si="9"/>
        <v>110</v>
      </c>
      <c r="AA23" s="17">
        <v>110</v>
      </c>
      <c r="AB23" s="13"/>
      <c r="AC23" s="13"/>
      <c r="AD23" s="13"/>
      <c r="AE23" s="13">
        <f t="shared" si="19"/>
        <v>9862</v>
      </c>
      <c r="AF23" s="14"/>
      <c r="AG23" s="72"/>
      <c r="AH23" s="73"/>
    </row>
    <row r="24" spans="1:34" ht="18.75" x14ac:dyDescent="0.3">
      <c r="A24" s="15">
        <v>26</v>
      </c>
      <c r="B24" s="15">
        <v>22</v>
      </c>
      <c r="C24" s="6" t="s">
        <v>64</v>
      </c>
      <c r="D24" s="6" t="s">
        <v>51</v>
      </c>
      <c r="E24" s="6"/>
      <c r="F24" s="7">
        <v>26</v>
      </c>
      <c r="G24" s="7">
        <f t="shared" si="2"/>
        <v>5</v>
      </c>
      <c r="H24" s="6"/>
      <c r="I24" s="27" t="s">
        <v>65</v>
      </c>
      <c r="J24" s="27"/>
      <c r="K24" s="6"/>
      <c r="L24" s="13">
        <v>335</v>
      </c>
      <c r="M24" s="16">
        <f>25+10+15</f>
        <v>50</v>
      </c>
      <c r="N24" s="16"/>
      <c r="O24" s="13">
        <f>L24*F24</f>
        <v>8710</v>
      </c>
      <c r="P24" s="13">
        <f t="shared" si="11"/>
        <v>6097</v>
      </c>
      <c r="Q24" s="13">
        <f t="shared" si="14"/>
        <v>2613</v>
      </c>
      <c r="R24" s="13">
        <f t="shared" ref="R24:R37" si="20">M24*F24</f>
        <v>1300</v>
      </c>
      <c r="S24" s="13">
        <f t="shared" si="18"/>
        <v>0</v>
      </c>
      <c r="T24" s="13"/>
      <c r="U24" s="8">
        <f t="shared" si="1"/>
        <v>10010</v>
      </c>
      <c r="V24" s="13">
        <f t="shared" si="15"/>
        <v>6097</v>
      </c>
      <c r="W24" s="13">
        <f t="shared" si="12"/>
        <v>732</v>
      </c>
      <c r="X24" s="8">
        <f t="shared" si="7"/>
        <v>66</v>
      </c>
      <c r="Y24" s="8">
        <f t="shared" si="8"/>
        <v>9212</v>
      </c>
      <c r="Z24" s="11">
        <f t="shared" si="9"/>
        <v>110</v>
      </c>
      <c r="AA24" s="17">
        <f t="shared" si="10"/>
        <v>110</v>
      </c>
      <c r="AB24" s="13"/>
      <c r="AC24" s="13"/>
      <c r="AD24" s="13"/>
      <c r="AE24" s="13">
        <f t="shared" si="19"/>
        <v>9102</v>
      </c>
      <c r="AF24" s="26"/>
      <c r="AG24" s="72"/>
      <c r="AH24" s="73"/>
    </row>
    <row r="25" spans="1:34" s="35" customFormat="1" ht="18.75" x14ac:dyDescent="0.3">
      <c r="A25" s="15">
        <v>27</v>
      </c>
      <c r="B25" s="15">
        <v>23</v>
      </c>
      <c r="C25" s="6" t="s">
        <v>66</v>
      </c>
      <c r="D25" s="6" t="s">
        <v>51</v>
      </c>
      <c r="E25" s="6"/>
      <c r="F25" s="6">
        <v>29</v>
      </c>
      <c r="G25" s="7">
        <f t="shared" si="2"/>
        <v>2</v>
      </c>
      <c r="H25" s="6"/>
      <c r="I25" s="27" t="s">
        <v>58</v>
      </c>
      <c r="J25" s="27"/>
      <c r="K25" s="6"/>
      <c r="L25" s="13">
        <v>325</v>
      </c>
      <c r="M25" s="16">
        <f>35+25+15</f>
        <v>75</v>
      </c>
      <c r="N25" s="16"/>
      <c r="O25" s="13">
        <f t="shared" ref="O25:O40" si="21">L25*F25</f>
        <v>9425</v>
      </c>
      <c r="P25" s="13">
        <f t="shared" si="11"/>
        <v>6597.5</v>
      </c>
      <c r="Q25" s="13">
        <f t="shared" si="14"/>
        <v>2827.5</v>
      </c>
      <c r="R25" s="13">
        <f t="shared" si="20"/>
        <v>2175</v>
      </c>
      <c r="S25" s="13">
        <f t="shared" si="18"/>
        <v>0</v>
      </c>
      <c r="T25" s="13"/>
      <c r="U25" s="13">
        <f t="shared" si="1"/>
        <v>11600</v>
      </c>
      <c r="V25" s="13">
        <f t="shared" si="15"/>
        <v>6597.5</v>
      </c>
      <c r="W25" s="13">
        <f t="shared" si="12"/>
        <v>792</v>
      </c>
      <c r="X25" s="13">
        <f t="shared" si="7"/>
        <v>71</v>
      </c>
      <c r="Y25" s="13">
        <f t="shared" si="8"/>
        <v>10737</v>
      </c>
      <c r="Z25" s="11">
        <f t="shared" si="9"/>
        <v>110</v>
      </c>
      <c r="AA25" s="17">
        <v>110</v>
      </c>
      <c r="AB25" s="13"/>
      <c r="AC25" s="13"/>
      <c r="AD25" s="13"/>
      <c r="AE25" s="13">
        <f t="shared" si="19"/>
        <v>10627</v>
      </c>
      <c r="AF25" s="37"/>
      <c r="AG25" s="77"/>
      <c r="AH25" s="74"/>
    </row>
    <row r="26" spans="1:34" ht="18.75" x14ac:dyDescent="0.3">
      <c r="A26" s="15">
        <v>28</v>
      </c>
      <c r="B26" s="15">
        <v>24</v>
      </c>
      <c r="C26" s="6" t="s">
        <v>67</v>
      </c>
      <c r="D26" s="6" t="s">
        <v>51</v>
      </c>
      <c r="E26" s="6"/>
      <c r="F26" s="7">
        <v>29</v>
      </c>
      <c r="G26" s="7">
        <f t="shared" si="2"/>
        <v>2</v>
      </c>
      <c r="H26" s="6"/>
      <c r="I26" s="27" t="s">
        <v>58</v>
      </c>
      <c r="J26" s="27"/>
      <c r="K26" s="6"/>
      <c r="L26" s="13">
        <v>335</v>
      </c>
      <c r="M26" s="16">
        <f>25+25+15</f>
        <v>65</v>
      </c>
      <c r="N26" s="16"/>
      <c r="O26" s="13">
        <f t="shared" si="21"/>
        <v>9715</v>
      </c>
      <c r="P26" s="13">
        <f>O26*0.7</f>
        <v>6800.5</v>
      </c>
      <c r="Q26" s="13">
        <f t="shared" si="14"/>
        <v>2914.5</v>
      </c>
      <c r="R26" s="13">
        <f t="shared" si="20"/>
        <v>1885</v>
      </c>
      <c r="S26" s="13">
        <f t="shared" si="18"/>
        <v>0</v>
      </c>
      <c r="T26" s="13"/>
      <c r="U26" s="8">
        <f t="shared" si="1"/>
        <v>11600</v>
      </c>
      <c r="V26" s="13">
        <f t="shared" si="15"/>
        <v>6800.5</v>
      </c>
      <c r="W26" s="13">
        <f t="shared" si="12"/>
        <v>816</v>
      </c>
      <c r="X26" s="8">
        <f t="shared" si="7"/>
        <v>73</v>
      </c>
      <c r="Y26" s="8">
        <f t="shared" si="8"/>
        <v>10711</v>
      </c>
      <c r="Z26" s="11">
        <f t="shared" si="9"/>
        <v>110</v>
      </c>
      <c r="AA26" s="17">
        <v>110</v>
      </c>
      <c r="AB26" s="13"/>
      <c r="AC26" s="13"/>
      <c r="AD26" s="13"/>
      <c r="AE26" s="13">
        <f t="shared" si="19"/>
        <v>10601</v>
      </c>
      <c r="AF26" s="37"/>
      <c r="AG26" s="72"/>
      <c r="AH26" s="73"/>
    </row>
    <row r="27" spans="1:34" ht="18.75" x14ac:dyDescent="0.3">
      <c r="A27" s="15">
        <v>29</v>
      </c>
      <c r="B27" s="15">
        <v>25</v>
      </c>
      <c r="C27" s="6" t="s">
        <v>68</v>
      </c>
      <c r="D27" s="6" t="s">
        <v>51</v>
      </c>
      <c r="E27" s="6"/>
      <c r="F27" s="7">
        <v>27</v>
      </c>
      <c r="G27" s="7">
        <f t="shared" si="2"/>
        <v>4</v>
      </c>
      <c r="H27" s="6"/>
      <c r="I27" s="27" t="s">
        <v>58</v>
      </c>
      <c r="J27" s="27"/>
      <c r="K27" s="6"/>
      <c r="L27" s="13">
        <v>325</v>
      </c>
      <c r="M27" s="16">
        <f>15+45+15</f>
        <v>75</v>
      </c>
      <c r="N27" s="16"/>
      <c r="O27" s="13">
        <f t="shared" si="21"/>
        <v>8775</v>
      </c>
      <c r="P27" s="13">
        <f t="shared" ref="P27:P37" si="22">O27*0.7</f>
        <v>6142.5</v>
      </c>
      <c r="Q27" s="13">
        <f t="shared" si="14"/>
        <v>2632.5</v>
      </c>
      <c r="R27" s="13">
        <f t="shared" si="20"/>
        <v>2025</v>
      </c>
      <c r="S27" s="13">
        <f t="shared" si="18"/>
        <v>0</v>
      </c>
      <c r="T27" s="13"/>
      <c r="U27" s="8">
        <f t="shared" si="1"/>
        <v>10800</v>
      </c>
      <c r="V27" s="13">
        <f t="shared" si="15"/>
        <v>6142.5</v>
      </c>
      <c r="W27" s="13">
        <f t="shared" si="12"/>
        <v>737</v>
      </c>
      <c r="X27" s="8">
        <f t="shared" si="7"/>
        <v>66</v>
      </c>
      <c r="Y27" s="8">
        <f t="shared" si="8"/>
        <v>9997</v>
      </c>
      <c r="Z27" s="11">
        <f t="shared" si="9"/>
        <v>110</v>
      </c>
      <c r="AA27" s="17">
        <f t="shared" si="10"/>
        <v>110</v>
      </c>
      <c r="AB27" s="13"/>
      <c r="AC27" s="13"/>
      <c r="AD27" s="13"/>
      <c r="AE27" s="13">
        <f t="shared" si="19"/>
        <v>9887</v>
      </c>
      <c r="AF27" s="37"/>
      <c r="AG27" s="72"/>
      <c r="AH27" s="73"/>
    </row>
    <row r="28" spans="1:34" ht="18.75" x14ac:dyDescent="0.3">
      <c r="A28" s="15">
        <v>30</v>
      </c>
      <c r="B28" s="15">
        <v>26</v>
      </c>
      <c r="C28" s="6" t="s">
        <v>69</v>
      </c>
      <c r="D28" s="6" t="s">
        <v>51</v>
      </c>
      <c r="E28" s="6"/>
      <c r="F28" s="7">
        <v>30</v>
      </c>
      <c r="G28" s="7">
        <f t="shared" si="2"/>
        <v>1</v>
      </c>
      <c r="H28" s="6"/>
      <c r="I28" s="27" t="s">
        <v>58</v>
      </c>
      <c r="J28" s="27"/>
      <c r="K28" s="6"/>
      <c r="L28" s="13">
        <v>325</v>
      </c>
      <c r="M28" s="16">
        <f>35+25+15</f>
        <v>75</v>
      </c>
      <c r="N28" s="16"/>
      <c r="O28" s="13">
        <f t="shared" si="21"/>
        <v>9750</v>
      </c>
      <c r="P28" s="13">
        <f t="shared" si="22"/>
        <v>6825</v>
      </c>
      <c r="Q28" s="13">
        <f t="shared" si="14"/>
        <v>2925</v>
      </c>
      <c r="R28" s="13">
        <f t="shared" si="20"/>
        <v>2250</v>
      </c>
      <c r="S28" s="13">
        <f t="shared" si="18"/>
        <v>0</v>
      </c>
      <c r="T28" s="13"/>
      <c r="U28" s="8">
        <f t="shared" si="1"/>
        <v>12000</v>
      </c>
      <c r="V28" s="13">
        <f t="shared" si="15"/>
        <v>6825</v>
      </c>
      <c r="W28" s="13">
        <f t="shared" si="12"/>
        <v>819</v>
      </c>
      <c r="X28" s="8">
        <f t="shared" si="7"/>
        <v>74</v>
      </c>
      <c r="Y28" s="8">
        <f t="shared" si="8"/>
        <v>11107</v>
      </c>
      <c r="Z28" s="11">
        <f t="shared" si="9"/>
        <v>110</v>
      </c>
      <c r="AA28" s="17">
        <v>110</v>
      </c>
      <c r="AB28" s="13"/>
      <c r="AC28" s="13"/>
      <c r="AD28" s="13"/>
      <c r="AE28" s="13">
        <f t="shared" si="19"/>
        <v>10997</v>
      </c>
      <c r="AF28" s="37"/>
      <c r="AG28" s="72"/>
      <c r="AH28" s="73"/>
    </row>
    <row r="29" spans="1:34" ht="18.75" x14ac:dyDescent="0.3">
      <c r="A29" s="15">
        <v>31</v>
      </c>
      <c r="B29" s="15">
        <v>27</v>
      </c>
      <c r="C29" s="6" t="s">
        <v>70</v>
      </c>
      <c r="D29" s="6" t="s">
        <v>51</v>
      </c>
      <c r="E29" s="6"/>
      <c r="F29" s="7">
        <v>31</v>
      </c>
      <c r="G29" s="7">
        <f t="shared" si="2"/>
        <v>0</v>
      </c>
      <c r="H29" s="6"/>
      <c r="I29" s="27" t="s">
        <v>58</v>
      </c>
      <c r="J29" s="27"/>
      <c r="K29" s="6"/>
      <c r="L29" s="13">
        <v>335</v>
      </c>
      <c r="M29" s="16">
        <f>25+25+15</f>
        <v>65</v>
      </c>
      <c r="N29" s="16"/>
      <c r="O29" s="13">
        <f t="shared" si="21"/>
        <v>10385</v>
      </c>
      <c r="P29" s="13">
        <f t="shared" si="22"/>
        <v>7269.4999999999991</v>
      </c>
      <c r="Q29" s="13">
        <f t="shared" si="14"/>
        <v>3115.5</v>
      </c>
      <c r="R29" s="13">
        <f t="shared" si="20"/>
        <v>2015</v>
      </c>
      <c r="S29" s="13">
        <f t="shared" si="18"/>
        <v>0</v>
      </c>
      <c r="T29" s="13"/>
      <c r="U29" s="8">
        <f t="shared" si="1"/>
        <v>12400</v>
      </c>
      <c r="V29" s="13">
        <f t="shared" si="15"/>
        <v>7269.4999999999991</v>
      </c>
      <c r="W29" s="13">
        <f t="shared" si="12"/>
        <v>872</v>
      </c>
      <c r="X29" s="8">
        <f t="shared" si="7"/>
        <v>78</v>
      </c>
      <c r="Y29" s="8">
        <f t="shared" si="8"/>
        <v>11450</v>
      </c>
      <c r="Z29" s="11">
        <f t="shared" si="9"/>
        <v>110</v>
      </c>
      <c r="AA29" s="17">
        <v>110</v>
      </c>
      <c r="AB29" s="13"/>
      <c r="AC29" s="13"/>
      <c r="AD29" s="13"/>
      <c r="AE29" s="13">
        <f t="shared" si="19"/>
        <v>11340</v>
      </c>
      <c r="AF29" s="37"/>
      <c r="AG29" s="72"/>
      <c r="AH29" s="73"/>
    </row>
    <row r="30" spans="1:34" ht="18.75" x14ac:dyDescent="0.3">
      <c r="A30" s="15">
        <v>32</v>
      </c>
      <c r="B30" s="15">
        <v>28</v>
      </c>
      <c r="C30" s="6" t="s">
        <v>71</v>
      </c>
      <c r="D30" s="6" t="s">
        <v>51</v>
      </c>
      <c r="E30" s="6"/>
      <c r="F30" s="7">
        <v>31</v>
      </c>
      <c r="G30" s="7">
        <f t="shared" si="2"/>
        <v>0</v>
      </c>
      <c r="H30" s="6"/>
      <c r="I30" s="27" t="s">
        <v>58</v>
      </c>
      <c r="J30" s="27"/>
      <c r="K30" s="6"/>
      <c r="L30" s="13">
        <v>325</v>
      </c>
      <c r="M30" s="16">
        <f>35+25+15</f>
        <v>75</v>
      </c>
      <c r="N30" s="16"/>
      <c r="O30" s="13">
        <f t="shared" si="21"/>
        <v>10075</v>
      </c>
      <c r="P30" s="13">
        <f t="shared" si="22"/>
        <v>7052.5</v>
      </c>
      <c r="Q30" s="13">
        <f t="shared" si="14"/>
        <v>3022.5</v>
      </c>
      <c r="R30" s="13">
        <f t="shared" si="20"/>
        <v>2325</v>
      </c>
      <c r="S30" s="13">
        <f t="shared" si="18"/>
        <v>0</v>
      </c>
      <c r="T30" s="13"/>
      <c r="U30" s="8">
        <f t="shared" si="1"/>
        <v>12400</v>
      </c>
      <c r="V30" s="13">
        <f t="shared" si="15"/>
        <v>7052.5</v>
      </c>
      <c r="W30" s="13">
        <f t="shared" si="12"/>
        <v>846</v>
      </c>
      <c r="X30" s="8">
        <f t="shared" si="7"/>
        <v>76</v>
      </c>
      <c r="Y30" s="8">
        <f t="shared" si="8"/>
        <v>11478</v>
      </c>
      <c r="Z30" s="11">
        <f t="shared" si="9"/>
        <v>110</v>
      </c>
      <c r="AA30" s="17">
        <v>110</v>
      </c>
      <c r="AB30" s="13"/>
      <c r="AC30" s="13"/>
      <c r="AD30" s="13"/>
      <c r="AE30" s="13">
        <f t="shared" si="19"/>
        <v>11368</v>
      </c>
      <c r="AF30" s="37"/>
      <c r="AG30" s="72"/>
      <c r="AH30" s="73"/>
    </row>
    <row r="31" spans="1:34" ht="18.75" x14ac:dyDescent="0.3">
      <c r="A31" s="15">
        <v>34</v>
      </c>
      <c r="B31" s="15">
        <v>29</v>
      </c>
      <c r="C31" s="6" t="s">
        <v>72</v>
      </c>
      <c r="D31" s="6" t="s">
        <v>51</v>
      </c>
      <c r="E31" s="6"/>
      <c r="F31" s="7">
        <v>30</v>
      </c>
      <c r="G31" s="7">
        <f t="shared" si="2"/>
        <v>1</v>
      </c>
      <c r="H31" s="6"/>
      <c r="I31" s="27" t="s">
        <v>58</v>
      </c>
      <c r="J31" s="27"/>
      <c r="K31" s="6"/>
      <c r="L31" s="13">
        <v>325</v>
      </c>
      <c r="M31" s="16">
        <f>15+45+15</f>
        <v>75</v>
      </c>
      <c r="N31" s="16"/>
      <c r="O31" s="13">
        <f t="shared" si="21"/>
        <v>9750</v>
      </c>
      <c r="P31" s="13">
        <f t="shared" si="22"/>
        <v>6825</v>
      </c>
      <c r="Q31" s="13">
        <f t="shared" si="14"/>
        <v>2925</v>
      </c>
      <c r="R31" s="13">
        <f t="shared" si="20"/>
        <v>2250</v>
      </c>
      <c r="S31" s="13">
        <f t="shared" si="18"/>
        <v>0</v>
      </c>
      <c r="T31" s="13"/>
      <c r="U31" s="8">
        <f t="shared" si="1"/>
        <v>12000</v>
      </c>
      <c r="V31" s="13">
        <f t="shared" si="15"/>
        <v>6825</v>
      </c>
      <c r="W31" s="13">
        <f t="shared" si="12"/>
        <v>819</v>
      </c>
      <c r="X31" s="8">
        <f t="shared" si="7"/>
        <v>74</v>
      </c>
      <c r="Y31" s="8">
        <f t="shared" si="8"/>
        <v>11107</v>
      </c>
      <c r="Z31" s="11">
        <f t="shared" si="9"/>
        <v>110</v>
      </c>
      <c r="AA31" s="17">
        <f t="shared" si="10"/>
        <v>110</v>
      </c>
      <c r="AB31" s="13"/>
      <c r="AC31" s="13"/>
      <c r="AD31" s="13"/>
      <c r="AE31" s="13">
        <f t="shared" si="19"/>
        <v>10997</v>
      </c>
      <c r="AF31" s="37"/>
      <c r="AG31" s="72"/>
      <c r="AH31" s="73"/>
    </row>
    <row r="32" spans="1:34" ht="18.75" x14ac:dyDescent="0.3">
      <c r="A32" s="15">
        <v>35</v>
      </c>
      <c r="B32" s="15">
        <v>30</v>
      </c>
      <c r="C32" s="6" t="s">
        <v>73</v>
      </c>
      <c r="D32" s="6" t="s">
        <v>51</v>
      </c>
      <c r="E32" s="6"/>
      <c r="F32" s="7">
        <v>31</v>
      </c>
      <c r="G32" s="7">
        <f t="shared" si="2"/>
        <v>0</v>
      </c>
      <c r="H32" s="6"/>
      <c r="I32" s="27" t="s">
        <v>58</v>
      </c>
      <c r="J32" s="27"/>
      <c r="K32" s="6"/>
      <c r="L32" s="13">
        <v>325</v>
      </c>
      <c r="M32" s="16">
        <f>15+45+15</f>
        <v>75</v>
      </c>
      <c r="N32" s="16"/>
      <c r="O32" s="13">
        <f t="shared" si="21"/>
        <v>10075</v>
      </c>
      <c r="P32" s="13">
        <f t="shared" si="22"/>
        <v>7052.5</v>
      </c>
      <c r="Q32" s="13">
        <f t="shared" si="14"/>
        <v>3022.5</v>
      </c>
      <c r="R32" s="13">
        <f t="shared" si="20"/>
        <v>2325</v>
      </c>
      <c r="S32" s="13">
        <f t="shared" si="18"/>
        <v>0</v>
      </c>
      <c r="T32" s="13"/>
      <c r="U32" s="8">
        <f t="shared" si="1"/>
        <v>12400</v>
      </c>
      <c r="V32" s="13">
        <f t="shared" si="15"/>
        <v>7052.5</v>
      </c>
      <c r="W32" s="13">
        <f t="shared" si="12"/>
        <v>846</v>
      </c>
      <c r="X32" s="8">
        <f t="shared" si="7"/>
        <v>76</v>
      </c>
      <c r="Y32" s="8">
        <f t="shared" si="8"/>
        <v>11478</v>
      </c>
      <c r="Z32" s="11">
        <f t="shared" si="9"/>
        <v>110</v>
      </c>
      <c r="AA32" s="17">
        <f t="shared" si="10"/>
        <v>110</v>
      </c>
      <c r="AB32" s="13"/>
      <c r="AC32" s="13"/>
      <c r="AD32" s="13"/>
      <c r="AE32" s="13">
        <f t="shared" si="19"/>
        <v>11368</v>
      </c>
      <c r="AF32" s="37"/>
      <c r="AG32" s="72"/>
      <c r="AH32" s="73"/>
    </row>
    <row r="33" spans="1:34" ht="18.75" x14ac:dyDescent="0.3">
      <c r="A33" s="15">
        <v>36</v>
      </c>
      <c r="B33" s="15">
        <v>31</v>
      </c>
      <c r="C33" s="6" t="s">
        <v>74</v>
      </c>
      <c r="D33" s="6" t="s">
        <v>51</v>
      </c>
      <c r="E33" s="6"/>
      <c r="F33" s="7">
        <v>31</v>
      </c>
      <c r="G33" s="7">
        <f t="shared" si="2"/>
        <v>0</v>
      </c>
      <c r="H33" s="6"/>
      <c r="I33" s="27" t="s">
        <v>58</v>
      </c>
      <c r="J33" s="27"/>
      <c r="K33" s="6"/>
      <c r="L33" s="13">
        <v>335</v>
      </c>
      <c r="M33" s="16">
        <f>25+25+15</f>
        <v>65</v>
      </c>
      <c r="N33" s="16"/>
      <c r="O33" s="13">
        <f t="shared" si="21"/>
        <v>10385</v>
      </c>
      <c r="P33" s="13">
        <f t="shared" si="22"/>
        <v>7269.4999999999991</v>
      </c>
      <c r="Q33" s="13">
        <f t="shared" si="14"/>
        <v>3115.5</v>
      </c>
      <c r="R33" s="13">
        <f t="shared" si="20"/>
        <v>2015</v>
      </c>
      <c r="S33" s="13">
        <f t="shared" si="18"/>
        <v>0</v>
      </c>
      <c r="T33" s="13"/>
      <c r="U33" s="8">
        <f t="shared" si="1"/>
        <v>12400</v>
      </c>
      <c r="V33" s="13">
        <f t="shared" si="15"/>
        <v>7269.4999999999991</v>
      </c>
      <c r="W33" s="13">
        <f t="shared" si="12"/>
        <v>872</v>
      </c>
      <c r="X33" s="8">
        <f t="shared" si="7"/>
        <v>78</v>
      </c>
      <c r="Y33" s="8">
        <f t="shared" si="8"/>
        <v>11450</v>
      </c>
      <c r="Z33" s="11">
        <f t="shared" si="9"/>
        <v>110</v>
      </c>
      <c r="AA33" s="17">
        <v>110</v>
      </c>
      <c r="AB33" s="13"/>
      <c r="AC33" s="13"/>
      <c r="AD33" s="13"/>
      <c r="AE33" s="13">
        <f t="shared" si="19"/>
        <v>11340</v>
      </c>
      <c r="AF33" s="37"/>
      <c r="AG33" s="72"/>
      <c r="AH33" s="73"/>
    </row>
    <row r="34" spans="1:34" ht="18.75" x14ac:dyDescent="0.3">
      <c r="A34" s="15">
        <v>37</v>
      </c>
      <c r="B34" s="15">
        <v>32</v>
      </c>
      <c r="C34" s="6" t="s">
        <v>75</v>
      </c>
      <c r="D34" s="6" t="s">
        <v>51</v>
      </c>
      <c r="E34" s="6"/>
      <c r="F34" s="7">
        <v>31</v>
      </c>
      <c r="G34" s="7">
        <f t="shared" si="2"/>
        <v>0</v>
      </c>
      <c r="H34" s="6"/>
      <c r="I34" s="27" t="s">
        <v>58</v>
      </c>
      <c r="J34" s="27"/>
      <c r="K34" s="6"/>
      <c r="L34" s="13">
        <v>335</v>
      </c>
      <c r="M34" s="16">
        <f>25+25+15</f>
        <v>65</v>
      </c>
      <c r="N34" s="16"/>
      <c r="O34" s="13">
        <f>L34*F34</f>
        <v>10385</v>
      </c>
      <c r="P34" s="13">
        <f t="shared" si="22"/>
        <v>7269.4999999999991</v>
      </c>
      <c r="Q34" s="13">
        <f t="shared" si="14"/>
        <v>3115.5</v>
      </c>
      <c r="R34" s="13">
        <f t="shared" si="20"/>
        <v>2015</v>
      </c>
      <c r="S34" s="13">
        <f t="shared" si="18"/>
        <v>0</v>
      </c>
      <c r="T34" s="13"/>
      <c r="U34" s="8">
        <f t="shared" si="1"/>
        <v>12400</v>
      </c>
      <c r="V34" s="13">
        <f t="shared" si="15"/>
        <v>7269.4999999999991</v>
      </c>
      <c r="W34" s="13">
        <f t="shared" si="12"/>
        <v>872</v>
      </c>
      <c r="X34" s="8">
        <f t="shared" si="7"/>
        <v>78</v>
      </c>
      <c r="Y34" s="8">
        <f t="shared" si="8"/>
        <v>11450</v>
      </c>
      <c r="Z34" s="11">
        <f t="shared" si="9"/>
        <v>110</v>
      </c>
      <c r="AA34" s="17">
        <v>110</v>
      </c>
      <c r="AB34" s="13"/>
      <c r="AC34" s="13"/>
      <c r="AD34" s="13"/>
      <c r="AE34" s="13">
        <f t="shared" si="19"/>
        <v>11340</v>
      </c>
      <c r="AF34" s="37"/>
      <c r="AG34" s="72"/>
      <c r="AH34" s="73"/>
    </row>
    <row r="35" spans="1:34" ht="18.75" x14ac:dyDescent="0.3">
      <c r="A35" s="15">
        <v>38</v>
      </c>
      <c r="B35" s="15">
        <v>33</v>
      </c>
      <c r="C35" s="6" t="s">
        <v>76</v>
      </c>
      <c r="D35" s="6"/>
      <c r="E35" s="6"/>
      <c r="F35" s="7">
        <v>26</v>
      </c>
      <c r="G35" s="7">
        <f t="shared" si="2"/>
        <v>5</v>
      </c>
      <c r="H35" s="6"/>
      <c r="I35" s="27" t="s">
        <v>58</v>
      </c>
      <c r="J35" s="27"/>
      <c r="K35" s="6"/>
      <c r="L35" s="13">
        <v>325</v>
      </c>
      <c r="M35" s="16">
        <f>35+25+15</f>
        <v>75</v>
      </c>
      <c r="N35" s="16"/>
      <c r="O35" s="13">
        <f t="shared" ref="O35:O38" si="23">L35*F35</f>
        <v>8450</v>
      </c>
      <c r="P35" s="13">
        <f t="shared" si="22"/>
        <v>5915</v>
      </c>
      <c r="Q35" s="13">
        <f t="shared" si="14"/>
        <v>2535</v>
      </c>
      <c r="R35" s="13">
        <f t="shared" si="20"/>
        <v>1950</v>
      </c>
      <c r="S35" s="13">
        <f t="shared" si="18"/>
        <v>0</v>
      </c>
      <c r="T35" s="13"/>
      <c r="U35" s="8">
        <f t="shared" si="1"/>
        <v>10400</v>
      </c>
      <c r="V35" s="13">
        <f t="shared" si="15"/>
        <v>5915</v>
      </c>
      <c r="W35" s="13">
        <f t="shared" si="12"/>
        <v>710</v>
      </c>
      <c r="X35" s="8">
        <f t="shared" si="7"/>
        <v>64</v>
      </c>
      <c r="Y35" s="8">
        <f t="shared" si="8"/>
        <v>9626</v>
      </c>
      <c r="Z35" s="11">
        <f t="shared" si="9"/>
        <v>110</v>
      </c>
      <c r="AA35" s="17">
        <v>110</v>
      </c>
      <c r="AB35" s="13"/>
      <c r="AC35" s="13"/>
      <c r="AD35" s="13"/>
      <c r="AE35" s="13">
        <f t="shared" si="19"/>
        <v>9516</v>
      </c>
      <c r="AF35" s="37"/>
      <c r="AG35" s="72"/>
      <c r="AH35" s="73"/>
    </row>
    <row r="36" spans="1:34" ht="18.75" x14ac:dyDescent="0.3">
      <c r="A36" s="15">
        <v>39</v>
      </c>
      <c r="B36" s="15">
        <v>34</v>
      </c>
      <c r="C36" s="6" t="s">
        <v>77</v>
      </c>
      <c r="D36" s="6"/>
      <c r="E36" s="6"/>
      <c r="F36" s="7">
        <v>30</v>
      </c>
      <c r="G36" s="7">
        <f t="shared" si="2"/>
        <v>1</v>
      </c>
      <c r="H36" s="6"/>
      <c r="I36" s="27" t="s">
        <v>58</v>
      </c>
      <c r="J36" s="27"/>
      <c r="K36" s="6"/>
      <c r="L36" s="13">
        <v>315</v>
      </c>
      <c r="M36" s="16">
        <f>45+25+15</f>
        <v>85</v>
      </c>
      <c r="N36" s="16"/>
      <c r="O36" s="13">
        <f t="shared" si="23"/>
        <v>9450</v>
      </c>
      <c r="P36" s="13">
        <f t="shared" si="22"/>
        <v>6615</v>
      </c>
      <c r="Q36" s="13">
        <f t="shared" si="14"/>
        <v>2835</v>
      </c>
      <c r="R36" s="13">
        <f t="shared" si="20"/>
        <v>2550</v>
      </c>
      <c r="S36" s="13">
        <f t="shared" si="18"/>
        <v>0</v>
      </c>
      <c r="T36" s="13"/>
      <c r="U36" s="8">
        <f t="shared" si="1"/>
        <v>12000</v>
      </c>
      <c r="V36" s="13">
        <f t="shared" si="15"/>
        <v>6615</v>
      </c>
      <c r="W36" s="13">
        <f t="shared" si="12"/>
        <v>794</v>
      </c>
      <c r="X36" s="8">
        <f t="shared" si="7"/>
        <v>71</v>
      </c>
      <c r="Y36" s="8">
        <f t="shared" si="8"/>
        <v>11135</v>
      </c>
      <c r="Z36" s="11">
        <f t="shared" si="9"/>
        <v>110</v>
      </c>
      <c r="AA36" s="17">
        <v>110</v>
      </c>
      <c r="AB36" s="13"/>
      <c r="AC36" s="13"/>
      <c r="AD36" s="13"/>
      <c r="AE36" s="13">
        <f t="shared" si="19"/>
        <v>11025</v>
      </c>
      <c r="AF36" s="37"/>
      <c r="AG36" s="72"/>
      <c r="AH36" s="73"/>
    </row>
    <row r="37" spans="1:34" ht="18.75" x14ac:dyDescent="0.3">
      <c r="A37" s="15">
        <v>41</v>
      </c>
      <c r="B37" s="15">
        <v>35</v>
      </c>
      <c r="C37" s="6" t="s">
        <v>79</v>
      </c>
      <c r="D37" s="6"/>
      <c r="E37" s="6"/>
      <c r="F37" s="7">
        <v>31</v>
      </c>
      <c r="G37" s="7">
        <f t="shared" si="2"/>
        <v>0</v>
      </c>
      <c r="H37" s="6"/>
      <c r="I37" s="27" t="s">
        <v>58</v>
      </c>
      <c r="J37" s="27"/>
      <c r="K37" s="6"/>
      <c r="L37" s="13">
        <v>315</v>
      </c>
      <c r="M37" s="16">
        <f>45+25+15</f>
        <v>85</v>
      </c>
      <c r="N37" s="16"/>
      <c r="O37" s="13">
        <f t="shared" si="23"/>
        <v>9765</v>
      </c>
      <c r="P37" s="13">
        <f t="shared" si="22"/>
        <v>6835.5</v>
      </c>
      <c r="Q37" s="13">
        <f t="shared" si="14"/>
        <v>2929.5</v>
      </c>
      <c r="R37" s="13">
        <f t="shared" si="20"/>
        <v>2635</v>
      </c>
      <c r="S37" s="13">
        <f t="shared" si="18"/>
        <v>0</v>
      </c>
      <c r="T37" s="13"/>
      <c r="U37" s="8">
        <f t="shared" si="1"/>
        <v>12400</v>
      </c>
      <c r="V37" s="13">
        <f t="shared" si="15"/>
        <v>6835.5</v>
      </c>
      <c r="W37" s="13">
        <f t="shared" si="12"/>
        <v>820</v>
      </c>
      <c r="X37" s="8">
        <f t="shared" si="7"/>
        <v>74</v>
      </c>
      <c r="Y37" s="8">
        <f t="shared" si="8"/>
        <v>11506</v>
      </c>
      <c r="Z37" s="11">
        <f t="shared" si="9"/>
        <v>110</v>
      </c>
      <c r="AA37" s="17">
        <v>110</v>
      </c>
      <c r="AB37" s="13"/>
      <c r="AC37" s="13"/>
      <c r="AD37" s="13"/>
      <c r="AE37" s="13">
        <f t="shared" si="19"/>
        <v>11396</v>
      </c>
      <c r="AF37" s="37"/>
      <c r="AG37" s="72"/>
      <c r="AH37" s="73"/>
    </row>
    <row r="38" spans="1:34" s="35" customFormat="1" ht="18.75" x14ac:dyDescent="0.3">
      <c r="A38" s="15">
        <v>42</v>
      </c>
      <c r="B38" s="15">
        <v>36</v>
      </c>
      <c r="C38" s="6" t="s">
        <v>80</v>
      </c>
      <c r="D38" s="6"/>
      <c r="E38" s="6"/>
      <c r="F38" s="7">
        <v>31</v>
      </c>
      <c r="G38" s="7">
        <f t="shared" si="2"/>
        <v>0</v>
      </c>
      <c r="H38" s="6"/>
      <c r="I38" s="38"/>
      <c r="J38" s="6">
        <f>50000+10000</f>
        <v>60000</v>
      </c>
      <c r="K38" s="6">
        <f>50000+10000</f>
        <v>60000</v>
      </c>
      <c r="L38" s="13">
        <f>K38/31</f>
        <v>1935.483870967742</v>
      </c>
      <c r="M38" s="16">
        <f t="shared" ref="M38:M43" si="24">R38/31</f>
        <v>0</v>
      </c>
      <c r="N38" s="16"/>
      <c r="O38" s="13">
        <f t="shared" si="23"/>
        <v>60000</v>
      </c>
      <c r="P38" s="13">
        <f>O38*0.7</f>
        <v>42000</v>
      </c>
      <c r="Q38" s="13">
        <f t="shared" si="14"/>
        <v>18000</v>
      </c>
      <c r="R38" s="13"/>
      <c r="S38" s="13">
        <f t="shared" si="18"/>
        <v>0</v>
      </c>
      <c r="T38" s="13"/>
      <c r="U38" s="13">
        <f t="shared" ref="U38:U50" si="25">P38+Q38+S38+T38+R38</f>
        <v>60000</v>
      </c>
      <c r="V38" s="13">
        <v>0</v>
      </c>
      <c r="W38" s="13">
        <f t="shared" si="12"/>
        <v>0</v>
      </c>
      <c r="X38" s="13">
        <f t="shared" si="7"/>
        <v>0</v>
      </c>
      <c r="Y38" s="13">
        <f t="shared" si="8"/>
        <v>60000</v>
      </c>
      <c r="Z38" s="11">
        <f t="shared" si="9"/>
        <v>200</v>
      </c>
      <c r="AA38" s="17">
        <f t="shared" ref="AA38" si="26">Z38</f>
        <v>200</v>
      </c>
      <c r="AB38" s="13"/>
      <c r="AC38" s="13"/>
      <c r="AD38" s="13"/>
      <c r="AE38" s="13">
        <f>U38-W38-X38-Z38-AB38-AD38</f>
        <v>59800</v>
      </c>
      <c r="AF38" s="37"/>
      <c r="AG38" s="77"/>
      <c r="AH38" s="74"/>
    </row>
    <row r="39" spans="1:34" ht="18.75" x14ac:dyDescent="0.3">
      <c r="A39" s="15">
        <v>43</v>
      </c>
      <c r="B39" s="15">
        <v>37</v>
      </c>
      <c r="C39" s="6" t="s">
        <v>81</v>
      </c>
      <c r="D39" s="6"/>
      <c r="E39" s="6"/>
      <c r="F39" s="7">
        <v>31</v>
      </c>
      <c r="G39" s="7">
        <f t="shared" si="2"/>
        <v>0</v>
      </c>
      <c r="H39" s="6"/>
      <c r="I39" s="38"/>
      <c r="J39" s="6">
        <v>25000</v>
      </c>
      <c r="K39" s="6">
        <v>25000</v>
      </c>
      <c r="L39" s="13">
        <f t="shared" ref="L39:L43" si="27">K39/31</f>
        <v>806.45161290322585</v>
      </c>
      <c r="M39" s="16">
        <f t="shared" si="24"/>
        <v>0</v>
      </c>
      <c r="N39" s="16"/>
      <c r="O39" s="13">
        <f>L39*F39</f>
        <v>25000</v>
      </c>
      <c r="P39" s="13">
        <f>O39*0.7</f>
        <v>17500</v>
      </c>
      <c r="Q39" s="13">
        <f>O39*0.3</f>
        <v>7500</v>
      </c>
      <c r="R39" s="13"/>
      <c r="S39" s="13">
        <f t="shared" si="18"/>
        <v>0</v>
      </c>
      <c r="T39" s="13"/>
      <c r="U39" s="13">
        <f t="shared" si="25"/>
        <v>25000</v>
      </c>
      <c r="V39" s="13">
        <v>0</v>
      </c>
      <c r="W39" s="13">
        <v>0</v>
      </c>
      <c r="X39" s="8">
        <f t="shared" si="7"/>
        <v>0</v>
      </c>
      <c r="Y39" s="8">
        <f t="shared" si="8"/>
        <v>25000</v>
      </c>
      <c r="Z39" s="11">
        <f t="shared" si="9"/>
        <v>130</v>
      </c>
      <c r="AA39" s="17">
        <v>130</v>
      </c>
      <c r="AB39" s="13"/>
      <c r="AC39" s="13"/>
      <c r="AD39" s="13"/>
      <c r="AE39" s="13">
        <f t="shared" si="19"/>
        <v>24870</v>
      </c>
      <c r="AF39" s="37"/>
      <c r="AG39" s="72"/>
      <c r="AH39" s="73"/>
    </row>
    <row r="40" spans="1:34" s="35" customFormat="1" ht="18.75" x14ac:dyDescent="0.3">
      <c r="A40" s="15">
        <v>44</v>
      </c>
      <c r="B40" s="15">
        <v>38</v>
      </c>
      <c r="C40" s="6" t="s">
        <v>82</v>
      </c>
      <c r="D40" s="6" t="s">
        <v>83</v>
      </c>
      <c r="E40" s="6"/>
      <c r="F40" s="6">
        <v>31</v>
      </c>
      <c r="G40" s="7">
        <f t="shared" si="2"/>
        <v>0</v>
      </c>
      <c r="H40" s="6"/>
      <c r="I40" s="38"/>
      <c r="J40" s="6">
        <v>25000</v>
      </c>
      <c r="K40" s="6">
        <v>25000</v>
      </c>
      <c r="L40" s="13">
        <f t="shared" si="27"/>
        <v>806.45161290322585</v>
      </c>
      <c r="M40" s="16">
        <f t="shared" si="24"/>
        <v>0</v>
      </c>
      <c r="N40" s="16"/>
      <c r="O40" s="13">
        <f t="shared" si="21"/>
        <v>25000</v>
      </c>
      <c r="P40" s="13">
        <f t="shared" si="11"/>
        <v>17500</v>
      </c>
      <c r="Q40" s="13">
        <f>O40*0.3</f>
        <v>7500</v>
      </c>
      <c r="R40" s="13"/>
      <c r="S40" s="13">
        <f t="shared" si="18"/>
        <v>0</v>
      </c>
      <c r="T40" s="13"/>
      <c r="U40" s="13">
        <f t="shared" si="25"/>
        <v>25000</v>
      </c>
      <c r="V40" s="13">
        <v>0</v>
      </c>
      <c r="W40" s="13">
        <v>0</v>
      </c>
      <c r="X40" s="13">
        <f t="shared" si="7"/>
        <v>0</v>
      </c>
      <c r="Y40" s="13">
        <f t="shared" si="8"/>
        <v>25000</v>
      </c>
      <c r="Z40" s="11">
        <f t="shared" si="9"/>
        <v>130</v>
      </c>
      <c r="AA40" s="17">
        <f t="shared" si="10"/>
        <v>130</v>
      </c>
      <c r="AB40" s="13"/>
      <c r="AC40" s="13"/>
      <c r="AD40" s="13"/>
      <c r="AE40" s="13">
        <f>U40-W40-X40-Z40-AB40-AC40</f>
        <v>24870</v>
      </c>
      <c r="AF40" s="26"/>
      <c r="AG40" s="77"/>
      <c r="AH40" s="74"/>
    </row>
    <row r="41" spans="1:34" s="35" customFormat="1" ht="18.75" x14ac:dyDescent="0.3">
      <c r="A41" s="15">
        <v>45</v>
      </c>
      <c r="B41" s="15">
        <v>39</v>
      </c>
      <c r="C41" s="6" t="s">
        <v>84</v>
      </c>
      <c r="D41" s="6"/>
      <c r="E41" s="6"/>
      <c r="F41" s="6">
        <v>31</v>
      </c>
      <c r="G41" s="7">
        <f t="shared" si="2"/>
        <v>0</v>
      </c>
      <c r="H41" s="6"/>
      <c r="I41" s="38"/>
      <c r="J41" s="6">
        <v>25000</v>
      </c>
      <c r="K41" s="6">
        <v>25000</v>
      </c>
      <c r="L41" s="13">
        <f t="shared" si="27"/>
        <v>806.45161290322585</v>
      </c>
      <c r="M41" s="16">
        <f t="shared" si="24"/>
        <v>0</v>
      </c>
      <c r="N41" s="16"/>
      <c r="O41" s="13">
        <f>L41*F41</f>
        <v>25000</v>
      </c>
      <c r="P41" s="13">
        <v>25000</v>
      </c>
      <c r="Q41" s="13">
        <v>0</v>
      </c>
      <c r="R41" s="13"/>
      <c r="S41" s="13">
        <f t="shared" si="18"/>
        <v>0</v>
      </c>
      <c r="T41" s="13"/>
      <c r="U41" s="13">
        <f t="shared" si="25"/>
        <v>25000</v>
      </c>
      <c r="V41" s="13">
        <v>0</v>
      </c>
      <c r="W41" s="13">
        <v>0</v>
      </c>
      <c r="X41" s="13">
        <f t="shared" si="7"/>
        <v>0</v>
      </c>
      <c r="Y41" s="13">
        <f t="shared" si="8"/>
        <v>25000</v>
      </c>
      <c r="Z41" s="11">
        <f t="shared" si="9"/>
        <v>130</v>
      </c>
      <c r="AA41" s="17">
        <v>130</v>
      </c>
      <c r="AB41" s="13"/>
      <c r="AC41" s="13"/>
      <c r="AD41" s="13"/>
      <c r="AE41" s="13">
        <f t="shared" ref="AE41:AE48" si="28">U41-W41-X41-Z41-AB41</f>
        <v>24870</v>
      </c>
      <c r="AF41" s="26"/>
      <c r="AG41" s="77"/>
      <c r="AH41" s="74"/>
    </row>
    <row r="42" spans="1:34" s="69" customFormat="1" ht="18.75" hidden="1" x14ac:dyDescent="0.3">
      <c r="A42" s="61">
        <v>42</v>
      </c>
      <c r="B42" s="61">
        <v>41</v>
      </c>
      <c r="C42" s="62" t="s">
        <v>85</v>
      </c>
      <c r="D42" s="62"/>
      <c r="E42" s="62"/>
      <c r="F42" s="62"/>
      <c r="G42" s="7">
        <f t="shared" si="2"/>
        <v>31</v>
      </c>
      <c r="H42" s="62"/>
      <c r="I42" s="81"/>
      <c r="J42" s="62">
        <v>35000</v>
      </c>
      <c r="K42" s="62">
        <v>35000</v>
      </c>
      <c r="L42" s="13">
        <f t="shared" si="27"/>
        <v>1129.0322580645161</v>
      </c>
      <c r="M42" s="65">
        <f t="shared" si="24"/>
        <v>0</v>
      </c>
      <c r="N42" s="65"/>
      <c r="O42" s="64">
        <f t="shared" ref="O42:O51" si="29">L42*F42</f>
        <v>0</v>
      </c>
      <c r="P42" s="64">
        <f>O42*0.7</f>
        <v>0</v>
      </c>
      <c r="Q42" s="64">
        <f t="shared" ref="Q42:Q51" si="30">O42*0.3</f>
        <v>0</v>
      </c>
      <c r="R42" s="64"/>
      <c r="S42" s="64">
        <f t="shared" si="18"/>
        <v>0</v>
      </c>
      <c r="T42" s="64"/>
      <c r="U42" s="64">
        <f t="shared" si="25"/>
        <v>0</v>
      </c>
      <c r="V42" s="64">
        <v>0</v>
      </c>
      <c r="W42" s="64">
        <f t="shared" ref="W42:W51" si="31">ROUND(IF(V42&lt;=15000,V42*12%,IF(V42&gt;15000,0)),0)</f>
        <v>0</v>
      </c>
      <c r="X42" s="64">
        <f t="shared" si="7"/>
        <v>0</v>
      </c>
      <c r="Y42" s="64">
        <f t="shared" si="8"/>
        <v>0</v>
      </c>
      <c r="Z42" s="66">
        <f t="shared" si="9"/>
        <v>0</v>
      </c>
      <c r="AA42" s="67">
        <f t="shared" ref="AA42:AA43" si="32">Z42</f>
        <v>0</v>
      </c>
      <c r="AB42" s="64"/>
      <c r="AC42" s="64"/>
      <c r="AD42" s="64"/>
      <c r="AE42" s="64">
        <f>U42-W42-X42-Z42-AB42-AD42</f>
        <v>0</v>
      </c>
      <c r="AF42" s="68"/>
      <c r="AG42" s="75"/>
      <c r="AH42" s="76"/>
    </row>
    <row r="43" spans="1:34" s="35" customFormat="1" ht="18.75" x14ac:dyDescent="0.3">
      <c r="A43" s="15">
        <v>42</v>
      </c>
      <c r="B43" s="15">
        <v>40</v>
      </c>
      <c r="C43" s="6" t="s">
        <v>86</v>
      </c>
      <c r="D43" s="6"/>
      <c r="E43" s="6"/>
      <c r="F43" s="6">
        <v>31</v>
      </c>
      <c r="G43" s="7">
        <f t="shared" si="2"/>
        <v>0</v>
      </c>
      <c r="H43" s="6"/>
      <c r="I43" s="38"/>
      <c r="J43" s="6">
        <f>50000+10000</f>
        <v>60000</v>
      </c>
      <c r="K43" s="6">
        <f>50000+10000</f>
        <v>60000</v>
      </c>
      <c r="L43" s="13">
        <f t="shared" si="27"/>
        <v>1935.483870967742</v>
      </c>
      <c r="M43" s="16">
        <f t="shared" si="24"/>
        <v>0</v>
      </c>
      <c r="N43" s="16"/>
      <c r="O43" s="13">
        <f t="shared" si="29"/>
        <v>60000</v>
      </c>
      <c r="P43" s="13">
        <f>O43*0.7</f>
        <v>42000</v>
      </c>
      <c r="Q43" s="13">
        <f t="shared" si="30"/>
        <v>18000</v>
      </c>
      <c r="R43" s="13"/>
      <c r="S43" s="13">
        <f t="shared" si="18"/>
        <v>0</v>
      </c>
      <c r="T43" s="13"/>
      <c r="U43" s="13">
        <f t="shared" si="25"/>
        <v>60000</v>
      </c>
      <c r="V43" s="13">
        <v>0</v>
      </c>
      <c r="W43" s="13">
        <f t="shared" si="31"/>
        <v>0</v>
      </c>
      <c r="X43" s="13">
        <f t="shared" si="7"/>
        <v>0</v>
      </c>
      <c r="Y43" s="13">
        <f t="shared" si="8"/>
        <v>60000</v>
      </c>
      <c r="Z43" s="11">
        <f t="shared" si="9"/>
        <v>200</v>
      </c>
      <c r="AA43" s="17">
        <f t="shared" si="32"/>
        <v>200</v>
      </c>
      <c r="AB43" s="13"/>
      <c r="AC43" s="13"/>
      <c r="AD43" s="13"/>
      <c r="AE43" s="13">
        <f>U43-W43-X43-Z43-AB43-AD43</f>
        <v>59800</v>
      </c>
      <c r="AF43" s="37"/>
      <c r="AG43" s="77"/>
      <c r="AH43" s="74"/>
    </row>
    <row r="44" spans="1:34" s="35" customFormat="1" ht="18.75" x14ac:dyDescent="0.3">
      <c r="A44" s="15">
        <v>47</v>
      </c>
      <c r="B44" s="15">
        <v>41</v>
      </c>
      <c r="C44" s="6" t="s">
        <v>87</v>
      </c>
      <c r="D44" s="6"/>
      <c r="E44" s="6"/>
      <c r="F44" s="6">
        <v>29</v>
      </c>
      <c r="G44" s="7">
        <f t="shared" si="2"/>
        <v>2</v>
      </c>
      <c r="H44" s="6"/>
      <c r="I44" s="38"/>
      <c r="J44" s="38"/>
      <c r="K44" s="6">
        <v>0</v>
      </c>
      <c r="L44" s="13">
        <v>356</v>
      </c>
      <c r="M44" s="16">
        <f>19+20+15</f>
        <v>54</v>
      </c>
      <c r="N44" s="16"/>
      <c r="O44" s="13">
        <f t="shared" si="29"/>
        <v>10324</v>
      </c>
      <c r="P44" s="13">
        <f t="shared" ref="P44:P47" si="33">O44*0.7</f>
        <v>7226.7999999999993</v>
      </c>
      <c r="Q44" s="13">
        <f t="shared" si="30"/>
        <v>3097.2</v>
      </c>
      <c r="R44" s="13">
        <f>M44*F44</f>
        <v>1566</v>
      </c>
      <c r="S44" s="13">
        <f>H44*(L44+M44)</f>
        <v>0</v>
      </c>
      <c r="T44" s="13"/>
      <c r="U44" s="13">
        <f t="shared" si="25"/>
        <v>11890</v>
      </c>
      <c r="V44" s="13">
        <f>P44</f>
        <v>7226.7999999999993</v>
      </c>
      <c r="W44" s="13">
        <f t="shared" si="31"/>
        <v>867</v>
      </c>
      <c r="X44" s="13">
        <f t="shared" si="7"/>
        <v>78</v>
      </c>
      <c r="Y44" s="13">
        <f t="shared" si="8"/>
        <v>10945</v>
      </c>
      <c r="Z44" s="11">
        <f t="shared" si="9"/>
        <v>110</v>
      </c>
      <c r="AA44" s="17">
        <v>110</v>
      </c>
      <c r="AB44" s="13"/>
      <c r="AC44" s="13"/>
      <c r="AD44" s="13"/>
      <c r="AE44" s="13">
        <f t="shared" si="28"/>
        <v>10835</v>
      </c>
      <c r="AF44" s="26"/>
      <c r="AG44" s="77"/>
      <c r="AH44" s="74"/>
    </row>
    <row r="45" spans="1:34" s="35" customFormat="1" ht="18.75" x14ac:dyDescent="0.3">
      <c r="A45" s="15">
        <v>48</v>
      </c>
      <c r="B45" s="15">
        <v>42</v>
      </c>
      <c r="C45" s="6" t="s">
        <v>88</v>
      </c>
      <c r="D45" s="6"/>
      <c r="E45" s="6"/>
      <c r="F45" s="6">
        <v>28</v>
      </c>
      <c r="G45" s="7">
        <f t="shared" si="2"/>
        <v>3</v>
      </c>
      <c r="H45" s="6"/>
      <c r="I45" s="38"/>
      <c r="J45" s="38"/>
      <c r="K45" s="6">
        <v>0</v>
      </c>
      <c r="L45" s="13">
        <v>356</v>
      </c>
      <c r="M45" s="16">
        <f>19+20+15</f>
        <v>54</v>
      </c>
      <c r="N45" s="16"/>
      <c r="O45" s="13">
        <f t="shared" si="29"/>
        <v>9968</v>
      </c>
      <c r="P45" s="13">
        <f t="shared" si="33"/>
        <v>6977.5999999999995</v>
      </c>
      <c r="Q45" s="13">
        <f t="shared" si="30"/>
        <v>2990.4</v>
      </c>
      <c r="R45" s="13">
        <f t="shared" ref="R45:R47" si="34">M45*F45</f>
        <v>1512</v>
      </c>
      <c r="S45" s="13">
        <f>H45*(L45+M45)</f>
        <v>0</v>
      </c>
      <c r="T45" s="13"/>
      <c r="U45" s="13">
        <f t="shared" si="25"/>
        <v>11480</v>
      </c>
      <c r="V45" s="13">
        <f>P45</f>
        <v>6977.5999999999995</v>
      </c>
      <c r="W45" s="13">
        <f t="shared" si="31"/>
        <v>837</v>
      </c>
      <c r="X45" s="13">
        <f t="shared" si="7"/>
        <v>75</v>
      </c>
      <c r="Y45" s="13">
        <f t="shared" si="8"/>
        <v>10568</v>
      </c>
      <c r="Z45" s="11">
        <f t="shared" si="9"/>
        <v>110</v>
      </c>
      <c r="AA45" s="17">
        <v>110</v>
      </c>
      <c r="AB45" s="13"/>
      <c r="AC45" s="13"/>
      <c r="AD45" s="13"/>
      <c r="AE45" s="13">
        <f t="shared" si="28"/>
        <v>10458</v>
      </c>
      <c r="AF45" s="26"/>
      <c r="AG45" s="77"/>
      <c r="AH45" s="74"/>
    </row>
    <row r="46" spans="1:34" s="35" customFormat="1" ht="18.75" x14ac:dyDescent="0.3">
      <c r="A46" s="15">
        <v>49</v>
      </c>
      <c r="B46" s="15">
        <v>43</v>
      </c>
      <c r="C46" s="6" t="s">
        <v>89</v>
      </c>
      <c r="D46" s="6"/>
      <c r="E46" s="6"/>
      <c r="F46" s="6">
        <v>26</v>
      </c>
      <c r="G46" s="7">
        <f t="shared" si="2"/>
        <v>5</v>
      </c>
      <c r="H46" s="6"/>
      <c r="I46" s="27" t="s">
        <v>58</v>
      </c>
      <c r="J46" s="27"/>
      <c r="K46" s="6">
        <v>0</v>
      </c>
      <c r="L46" s="13">
        <v>334</v>
      </c>
      <c r="M46" s="16">
        <f>26+25+15</f>
        <v>66</v>
      </c>
      <c r="N46" s="16"/>
      <c r="O46" s="13">
        <f t="shared" si="29"/>
        <v>8684</v>
      </c>
      <c r="P46" s="13">
        <f t="shared" si="33"/>
        <v>6078.7999999999993</v>
      </c>
      <c r="Q46" s="13">
        <f t="shared" si="30"/>
        <v>2605.1999999999998</v>
      </c>
      <c r="R46" s="13">
        <f t="shared" si="34"/>
        <v>1716</v>
      </c>
      <c r="S46" s="13">
        <f>H46*(L46+M46)</f>
        <v>0</v>
      </c>
      <c r="T46" s="13"/>
      <c r="U46" s="13">
        <f t="shared" si="25"/>
        <v>10400</v>
      </c>
      <c r="V46" s="13">
        <f>P46</f>
        <v>6078.7999999999993</v>
      </c>
      <c r="W46" s="13">
        <f t="shared" si="31"/>
        <v>729</v>
      </c>
      <c r="X46" s="13">
        <f t="shared" si="7"/>
        <v>66</v>
      </c>
      <c r="Y46" s="13">
        <f t="shared" si="8"/>
        <v>9605</v>
      </c>
      <c r="Z46" s="11">
        <f t="shared" si="9"/>
        <v>110</v>
      </c>
      <c r="AA46" s="17">
        <f t="shared" si="10"/>
        <v>110</v>
      </c>
      <c r="AB46" s="13"/>
      <c r="AC46" s="13"/>
      <c r="AD46" s="13"/>
      <c r="AE46" s="13">
        <f t="shared" si="28"/>
        <v>9495</v>
      </c>
      <c r="AF46" s="26"/>
      <c r="AG46" s="77"/>
      <c r="AH46" s="74"/>
    </row>
    <row r="47" spans="1:34" s="35" customFormat="1" ht="18.75" x14ac:dyDescent="0.3">
      <c r="A47" s="15">
        <v>50</v>
      </c>
      <c r="B47" s="15">
        <v>44</v>
      </c>
      <c r="C47" s="6" t="s">
        <v>90</v>
      </c>
      <c r="D47" s="6"/>
      <c r="E47" s="6"/>
      <c r="F47" s="6">
        <v>4</v>
      </c>
      <c r="G47" s="7">
        <f t="shared" si="2"/>
        <v>27</v>
      </c>
      <c r="H47" s="6"/>
      <c r="I47" s="27" t="s">
        <v>58</v>
      </c>
      <c r="J47" s="27"/>
      <c r="K47" s="6">
        <v>0</v>
      </c>
      <c r="L47" s="13">
        <v>325</v>
      </c>
      <c r="M47" s="16">
        <f>15+45+15</f>
        <v>75</v>
      </c>
      <c r="N47" s="16"/>
      <c r="O47" s="13">
        <f t="shared" si="29"/>
        <v>1300</v>
      </c>
      <c r="P47" s="13">
        <f t="shared" si="33"/>
        <v>909.99999999999989</v>
      </c>
      <c r="Q47" s="13">
        <f t="shared" si="30"/>
        <v>390</v>
      </c>
      <c r="R47" s="13">
        <f t="shared" si="34"/>
        <v>300</v>
      </c>
      <c r="S47" s="13">
        <f>H47*(L47+M47)</f>
        <v>0</v>
      </c>
      <c r="T47" s="13"/>
      <c r="U47" s="13">
        <f t="shared" si="25"/>
        <v>1600</v>
      </c>
      <c r="V47" s="13">
        <f>P47</f>
        <v>909.99999999999989</v>
      </c>
      <c r="W47" s="13">
        <f t="shared" si="31"/>
        <v>109</v>
      </c>
      <c r="X47" s="13">
        <f t="shared" si="7"/>
        <v>10</v>
      </c>
      <c r="Y47" s="13">
        <f t="shared" si="8"/>
        <v>1481</v>
      </c>
      <c r="Z47" s="11">
        <f t="shared" si="9"/>
        <v>0</v>
      </c>
      <c r="AA47" s="17">
        <f t="shared" si="10"/>
        <v>0</v>
      </c>
      <c r="AB47" s="13"/>
      <c r="AC47" s="13"/>
      <c r="AD47" s="13"/>
      <c r="AE47" s="13">
        <f t="shared" si="28"/>
        <v>1481</v>
      </c>
      <c r="AF47" s="26"/>
      <c r="AG47" s="77"/>
      <c r="AH47" s="74"/>
    </row>
    <row r="48" spans="1:34" s="35" customFormat="1" ht="18.75" x14ac:dyDescent="0.3">
      <c r="A48" s="15">
        <v>51</v>
      </c>
      <c r="B48" s="15">
        <v>45</v>
      </c>
      <c r="C48" s="6" t="s">
        <v>91</v>
      </c>
      <c r="D48" s="6"/>
      <c r="E48" s="6"/>
      <c r="F48" s="6">
        <v>31</v>
      </c>
      <c r="G48" s="7">
        <f t="shared" si="2"/>
        <v>0</v>
      </c>
      <c r="H48" s="6"/>
      <c r="I48" s="27"/>
      <c r="J48" s="6">
        <v>51000</v>
      </c>
      <c r="K48" s="6">
        <v>51000</v>
      </c>
      <c r="L48" s="13">
        <f>K48/31</f>
        <v>1645.1612903225807</v>
      </c>
      <c r="M48" s="13">
        <f>N48/30</f>
        <v>0</v>
      </c>
      <c r="N48" s="16"/>
      <c r="O48" s="13">
        <f t="shared" si="29"/>
        <v>51000</v>
      </c>
      <c r="P48" s="13">
        <f>O48*0.51</f>
        <v>26010</v>
      </c>
      <c r="Q48" s="13">
        <f>O48*0.49</f>
        <v>24990</v>
      </c>
      <c r="R48" s="13"/>
      <c r="S48" s="16">
        <f t="shared" si="18"/>
        <v>0</v>
      </c>
      <c r="T48" s="13"/>
      <c r="U48" s="13">
        <f t="shared" si="25"/>
        <v>51000</v>
      </c>
      <c r="V48" s="13">
        <v>0</v>
      </c>
      <c r="W48" s="13">
        <f t="shared" si="31"/>
        <v>0</v>
      </c>
      <c r="X48" s="13">
        <f t="shared" si="7"/>
        <v>0</v>
      </c>
      <c r="Y48" s="13">
        <f t="shared" si="8"/>
        <v>51000</v>
      </c>
      <c r="Z48" s="11">
        <f t="shared" si="9"/>
        <v>200</v>
      </c>
      <c r="AA48" s="17">
        <v>200</v>
      </c>
      <c r="AB48" s="13"/>
      <c r="AC48" s="13"/>
      <c r="AD48" s="13"/>
      <c r="AE48" s="13">
        <f t="shared" si="28"/>
        <v>50800</v>
      </c>
      <c r="AF48" s="37"/>
      <c r="AG48" s="77"/>
      <c r="AH48" s="74"/>
    </row>
    <row r="49" spans="1:46" ht="18.75" x14ac:dyDescent="0.3">
      <c r="A49" s="15">
        <v>52</v>
      </c>
      <c r="B49" s="15">
        <v>47</v>
      </c>
      <c r="C49" s="6" t="s">
        <v>92</v>
      </c>
      <c r="D49" s="6"/>
      <c r="E49" s="6"/>
      <c r="F49" s="7">
        <v>31</v>
      </c>
      <c r="G49" s="7">
        <f t="shared" si="2"/>
        <v>0</v>
      </c>
      <c r="H49" s="6"/>
      <c r="I49" s="39"/>
      <c r="J49" s="6">
        <f>50000+10000</f>
        <v>60000</v>
      </c>
      <c r="K49" s="6">
        <f>50000+10000</f>
        <v>60000</v>
      </c>
      <c r="L49" s="13">
        <f t="shared" ref="L49:L50" si="35">K49/31</f>
        <v>1935.483870967742</v>
      </c>
      <c r="M49" s="16">
        <f>R49/30</f>
        <v>0</v>
      </c>
      <c r="N49" s="16"/>
      <c r="O49" s="13">
        <f t="shared" si="29"/>
        <v>60000</v>
      </c>
      <c r="P49" s="13">
        <f>O49*0.7</f>
        <v>42000</v>
      </c>
      <c r="Q49" s="13">
        <f t="shared" si="30"/>
        <v>18000</v>
      </c>
      <c r="R49" s="13"/>
      <c r="S49" s="13">
        <f t="shared" si="18"/>
        <v>0</v>
      </c>
      <c r="T49" s="13"/>
      <c r="U49" s="13">
        <f t="shared" si="25"/>
        <v>60000</v>
      </c>
      <c r="V49" s="13">
        <v>0</v>
      </c>
      <c r="W49" s="13">
        <f t="shared" si="31"/>
        <v>0</v>
      </c>
      <c r="X49" s="8">
        <f t="shared" si="7"/>
        <v>0</v>
      </c>
      <c r="Y49" s="8">
        <f t="shared" si="8"/>
        <v>60000</v>
      </c>
      <c r="Z49" s="11"/>
      <c r="AA49" s="17">
        <f t="shared" si="10"/>
        <v>0</v>
      </c>
      <c r="AB49" s="13"/>
      <c r="AC49" s="13"/>
      <c r="AD49" s="13">
        <v>15000</v>
      </c>
      <c r="AE49" s="13">
        <f>Y49-AD49</f>
        <v>45000</v>
      </c>
      <c r="AF49" s="37"/>
      <c r="AG49" s="72"/>
      <c r="AH49" s="73"/>
    </row>
    <row r="50" spans="1:46" ht="18.75" x14ac:dyDescent="0.3">
      <c r="A50" s="15">
        <v>53</v>
      </c>
      <c r="B50" s="15">
        <v>48</v>
      </c>
      <c r="C50" s="6" t="s">
        <v>93</v>
      </c>
      <c r="D50" s="6" t="s">
        <v>31</v>
      </c>
      <c r="E50" s="6"/>
      <c r="F50" s="7">
        <v>29</v>
      </c>
      <c r="G50" s="7">
        <f t="shared" si="2"/>
        <v>2</v>
      </c>
      <c r="H50" s="6"/>
      <c r="I50" s="39"/>
      <c r="J50" s="6">
        <v>21700</v>
      </c>
      <c r="K50" s="6">
        <v>16000</v>
      </c>
      <c r="L50" s="13">
        <f t="shared" si="35"/>
        <v>516.12903225806451</v>
      </c>
      <c r="M50" s="16">
        <f>R50/30</f>
        <v>248.11111111111114</v>
      </c>
      <c r="N50" s="16">
        <f>2000+1000+2000+700+2000</f>
        <v>7700</v>
      </c>
      <c r="O50" s="13">
        <f t="shared" si="29"/>
        <v>14967.741935483871</v>
      </c>
      <c r="P50" s="13">
        <f>O50*0.7</f>
        <v>10477.419354838708</v>
      </c>
      <c r="Q50" s="13">
        <f t="shared" si="30"/>
        <v>4490.322580645161</v>
      </c>
      <c r="R50" s="13">
        <f>(1000+1000+1000+2000+700+2000)/30*F50</f>
        <v>7443.3333333333339</v>
      </c>
      <c r="S50" s="16">
        <f t="shared" si="18"/>
        <v>0</v>
      </c>
      <c r="T50" s="13"/>
      <c r="U50" s="13">
        <f t="shared" si="25"/>
        <v>22411.075268817203</v>
      </c>
      <c r="V50" s="13">
        <f>P50</f>
        <v>10477.419354838708</v>
      </c>
      <c r="W50" s="13">
        <f t="shared" si="31"/>
        <v>1257</v>
      </c>
      <c r="X50" s="8">
        <f t="shared" si="7"/>
        <v>0</v>
      </c>
      <c r="Y50" s="8">
        <f t="shared" si="8"/>
        <v>21154.075268817203</v>
      </c>
      <c r="Z50" s="11">
        <f t="shared" si="9"/>
        <v>130</v>
      </c>
      <c r="AA50" s="17">
        <v>130</v>
      </c>
      <c r="AB50" s="13"/>
      <c r="AC50" s="13"/>
      <c r="AD50" s="13"/>
      <c r="AE50" s="13">
        <f>U50-W50-X50-Z50-AB50</f>
        <v>21024.075268817203</v>
      </c>
      <c r="AF50" s="37"/>
      <c r="AG50" s="72"/>
      <c r="AH50" s="73"/>
    </row>
    <row r="51" spans="1:46" ht="18.75" x14ac:dyDescent="0.3">
      <c r="A51" s="15">
        <v>54</v>
      </c>
      <c r="B51" s="15">
        <v>49</v>
      </c>
      <c r="C51" s="6" t="s">
        <v>94</v>
      </c>
      <c r="D51" s="6"/>
      <c r="E51" s="6"/>
      <c r="F51" s="7">
        <v>27</v>
      </c>
      <c r="G51" s="7">
        <f t="shared" si="2"/>
        <v>4</v>
      </c>
      <c r="H51" s="6"/>
      <c r="I51" s="27" t="s">
        <v>49</v>
      </c>
      <c r="J51" s="27"/>
      <c r="K51" s="6"/>
      <c r="L51" s="13">
        <v>320</v>
      </c>
      <c r="M51" s="16">
        <f>20+15</f>
        <v>35</v>
      </c>
      <c r="N51" s="16"/>
      <c r="O51" s="13">
        <f t="shared" si="29"/>
        <v>8640</v>
      </c>
      <c r="P51" s="13">
        <f t="shared" ref="P51" si="36">O51*0.7</f>
        <v>6048</v>
      </c>
      <c r="Q51" s="13">
        <f t="shared" si="30"/>
        <v>2592</v>
      </c>
      <c r="R51" s="13">
        <f>M51*F51</f>
        <v>945</v>
      </c>
      <c r="S51" s="13">
        <f>H51*(L51+M51)</f>
        <v>0</v>
      </c>
      <c r="T51" s="13"/>
      <c r="U51" s="8">
        <f t="shared" ref="U51:U52" si="37">P51+Q51+S51+R51+T51</f>
        <v>9585</v>
      </c>
      <c r="V51" s="13">
        <f t="shared" ref="V51" si="38">P51</f>
        <v>6048</v>
      </c>
      <c r="W51" s="13">
        <f t="shared" si="31"/>
        <v>726</v>
      </c>
      <c r="X51" s="8">
        <f t="shared" si="7"/>
        <v>65</v>
      </c>
      <c r="Y51" s="8">
        <f t="shared" si="8"/>
        <v>8794</v>
      </c>
      <c r="Z51" s="11">
        <f t="shared" si="9"/>
        <v>0</v>
      </c>
      <c r="AA51" s="17"/>
      <c r="AB51" s="13"/>
      <c r="AC51" s="13"/>
      <c r="AD51" s="13"/>
      <c r="AE51" s="13">
        <f>U51-W51-X51-Z51-AB51-AC51</f>
        <v>8794</v>
      </c>
      <c r="AF51" s="37"/>
      <c r="AG51" s="72"/>
      <c r="AH51" s="73"/>
    </row>
    <row r="52" spans="1:46" s="42" customFormat="1" ht="18.75" x14ac:dyDescent="0.3">
      <c r="A52" s="19">
        <v>55</v>
      </c>
      <c r="B52" s="19">
        <v>50</v>
      </c>
      <c r="C52" s="20" t="s">
        <v>95</v>
      </c>
      <c r="D52" s="20"/>
      <c r="E52" s="20"/>
      <c r="F52" s="20">
        <v>13</v>
      </c>
      <c r="G52" s="7">
        <f t="shared" si="2"/>
        <v>18</v>
      </c>
      <c r="H52" s="20"/>
      <c r="I52" s="20"/>
      <c r="J52" s="20">
        <v>23000</v>
      </c>
      <c r="K52" s="20">
        <v>22000</v>
      </c>
      <c r="L52" s="21">
        <f>K52/31</f>
        <v>709.67741935483866</v>
      </c>
      <c r="M52" s="21">
        <f>N52/30</f>
        <v>33.333333333333336</v>
      </c>
      <c r="N52" s="22">
        <v>1000</v>
      </c>
      <c r="O52" s="21">
        <f>L52*F52</f>
        <v>9225.8064516129034</v>
      </c>
      <c r="P52" s="21">
        <f>O52*1</f>
        <v>9225.8064516129034</v>
      </c>
      <c r="Q52" s="40">
        <v>0</v>
      </c>
      <c r="R52" s="21">
        <f>(N52)/30*F52</f>
        <v>433.33333333333337</v>
      </c>
      <c r="S52" s="22">
        <f t="shared" ref="S52" si="39">(L52+M52)*H52</f>
        <v>0</v>
      </c>
      <c r="T52" s="21"/>
      <c r="U52" s="21">
        <f t="shared" si="37"/>
        <v>9659.1397849462373</v>
      </c>
      <c r="V52" s="40">
        <v>0</v>
      </c>
      <c r="W52" s="40">
        <f>IF(V52&lt;=15000,V52*12%,IF(V52&gt;15000,0))</f>
        <v>0</v>
      </c>
      <c r="X52" s="21">
        <f t="shared" si="7"/>
        <v>0</v>
      </c>
      <c r="Y52" s="21">
        <f>U52-W52-X52</f>
        <v>9659.1397849462373</v>
      </c>
      <c r="Z52" s="23">
        <f>IF(U52&gt;40000,200,IF(U52&gt;25000,150,IF(U52&gt;15000,130,IF(U52&gt;10000,110,0))))</f>
        <v>0</v>
      </c>
      <c r="AA52" s="24">
        <v>130</v>
      </c>
      <c r="AB52" s="21"/>
      <c r="AC52" s="40"/>
      <c r="AD52" s="40"/>
      <c r="AE52" s="21">
        <f>U52-W52-X52-Z52-AB52</f>
        <v>9659.1397849462373</v>
      </c>
      <c r="AF52" s="41"/>
      <c r="AG52" s="72"/>
      <c r="AH52" s="78"/>
    </row>
    <row r="53" spans="1:46" ht="18.75" x14ac:dyDescent="0.3">
      <c r="A53" s="43"/>
      <c r="B53" s="43"/>
      <c r="C53" s="44" t="s">
        <v>96</v>
      </c>
      <c r="D53" s="44"/>
      <c r="E53" s="44"/>
      <c r="F53" s="44">
        <f>SUM(F3:F52)</f>
        <v>1361</v>
      </c>
      <c r="G53" s="44"/>
      <c r="H53" s="44">
        <f>SUM(H3:H52)</f>
        <v>1</v>
      </c>
      <c r="I53" s="45"/>
      <c r="J53" s="45"/>
      <c r="K53" s="44"/>
      <c r="L53" s="44">
        <f>SUM(L3:L52)</f>
        <v>26442.806451612902</v>
      </c>
      <c r="M53" s="44">
        <f>SUM(M3:M52)</f>
        <v>3300.4444444444448</v>
      </c>
      <c r="N53" s="44"/>
      <c r="O53" s="44">
        <f t="shared" ref="O53:Z53" si="40">SUM(O3:O52)</f>
        <v>719101.54838709673</v>
      </c>
      <c r="P53" s="46">
        <f t="shared" si="40"/>
        <v>526414.62580645154</v>
      </c>
      <c r="Q53" s="47">
        <f t="shared" si="40"/>
        <v>192686.92258064516</v>
      </c>
      <c r="R53" s="47">
        <f t="shared" si="40"/>
        <v>96559.860215053748</v>
      </c>
      <c r="S53" s="44">
        <f t="shared" si="40"/>
        <v>1000</v>
      </c>
      <c r="T53" s="47">
        <f t="shared" si="40"/>
        <v>0</v>
      </c>
      <c r="U53" s="48">
        <f t="shared" si="40"/>
        <v>816661.40860215062</v>
      </c>
      <c r="V53" s="48">
        <f t="shared" si="40"/>
        <v>230292.81935483866</v>
      </c>
      <c r="W53" s="48">
        <f t="shared" si="40"/>
        <v>27637</v>
      </c>
      <c r="X53" s="48">
        <f t="shared" si="40"/>
        <v>2473</v>
      </c>
      <c r="Y53" s="48">
        <f t="shared" si="40"/>
        <v>786551.40860215062</v>
      </c>
      <c r="Z53" s="48">
        <f t="shared" si="40"/>
        <v>4380</v>
      </c>
      <c r="AA53" s="49">
        <v>4400</v>
      </c>
      <c r="AB53" s="49">
        <f>SUM(AB3:AB51)</f>
        <v>2000</v>
      </c>
      <c r="AC53" s="49"/>
      <c r="AD53" s="49">
        <f>SUM(AD3:AD51)</f>
        <v>15000</v>
      </c>
      <c r="AE53" s="50">
        <f>SUM(AE3:AE52)</f>
        <v>765171.40860215062</v>
      </c>
      <c r="AF53" s="37"/>
      <c r="AG53" s="72"/>
      <c r="AH53" s="73"/>
    </row>
    <row r="54" spans="1:46" ht="18.75" x14ac:dyDescent="0.3">
      <c r="U54" s="35"/>
      <c r="V54" s="35"/>
      <c r="W54" s="35"/>
      <c r="X54" s="35"/>
      <c r="Y54" s="51"/>
      <c r="Z54" s="35"/>
      <c r="AA54" s="35"/>
      <c r="AB54" s="35"/>
      <c r="AC54" s="35"/>
      <c r="AD54" s="35"/>
      <c r="AE54" s="52"/>
      <c r="AF54" s="35"/>
      <c r="AG54" s="72"/>
      <c r="AH54" s="73"/>
    </row>
    <row r="55" spans="1:46" ht="18.75" x14ac:dyDescent="0.3">
      <c r="AG55" s="72"/>
      <c r="AH55" s="73"/>
    </row>
    <row r="56" spans="1:46" ht="18.75" x14ac:dyDescent="0.3">
      <c r="AG56" s="72"/>
      <c r="AH56" s="73"/>
    </row>
    <row r="57" spans="1:46" x14ac:dyDescent="0.25">
      <c r="AG57" s="73"/>
      <c r="AH57" s="73"/>
    </row>
    <row r="60" spans="1:46" ht="18" x14ac:dyDescent="0.25">
      <c r="C60" s="57"/>
      <c r="D60" s="57"/>
      <c r="E60" s="57"/>
      <c r="F60" s="57"/>
      <c r="G60" s="57"/>
      <c r="H60" s="57"/>
      <c r="I60" s="57"/>
      <c r="J60" s="57"/>
      <c r="K60" s="57"/>
    </row>
    <row r="61" spans="1:46" s="58" customFormat="1" ht="18" x14ac:dyDescent="0.25"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</row>
  </sheetData>
  <mergeCells count="1">
    <mergeCell ref="C1:AF1"/>
  </mergeCells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ACTUAL (2)</vt:lpstr>
      <vt:lpstr>ACTUAL (3)</vt:lpstr>
      <vt:lpstr>ACTUAL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2026-07-08T05:14:23Z</cp:lastPrinted>
  <dcterms:created xsi:type="dcterms:W3CDTF">2026-04-30T07:45:05Z</dcterms:created>
  <dcterms:modified xsi:type="dcterms:W3CDTF">2026-08-03T06:42:05Z</dcterms:modified>
</cp:coreProperties>
</file>