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OFFICE 26-27\SALARY\"/>
    </mc:Choice>
  </mc:AlternateContent>
  <bookViews>
    <workbookView xWindow="0" yWindow="0" windowWidth="21600" windowHeight="9435" activeTab="3"/>
  </bookViews>
  <sheets>
    <sheet name="ACTUALL" sheetId="1" r:id="rId1"/>
    <sheet name="ACTUALL (2)" sheetId="2" r:id="rId2"/>
    <sheet name="ACTUALL (3)" sheetId="3" r:id="rId3"/>
    <sheet name="ACTUALL (4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AB40" i="4"/>
  <c r="AA40" i="4"/>
  <c r="Z40" i="4"/>
  <c r="H40" i="4"/>
  <c r="F40" i="4"/>
  <c r="W39" i="4"/>
  <c r="L39" i="4"/>
  <c r="S39" i="4" s="1"/>
  <c r="W38" i="4"/>
  <c r="V38" i="4"/>
  <c r="L38" i="4"/>
  <c r="S38" i="4" s="1"/>
  <c r="W37" i="4"/>
  <c r="V37" i="4"/>
  <c r="L37" i="4"/>
  <c r="W36" i="4"/>
  <c r="V36" i="4"/>
  <c r="S36" i="4"/>
  <c r="L36" i="4"/>
  <c r="O36" i="4" s="1"/>
  <c r="W35" i="4"/>
  <c r="S35" i="4"/>
  <c r="R35" i="4"/>
  <c r="O35" i="4"/>
  <c r="R34" i="4"/>
  <c r="P34" i="4"/>
  <c r="U34" i="4" s="1"/>
  <c r="V34" i="4" s="1"/>
  <c r="O34" i="4"/>
  <c r="W34" i="4" s="1"/>
  <c r="M34" i="4"/>
  <c r="S34" i="4" s="1"/>
  <c r="T34" i="4" s="1"/>
  <c r="R33" i="4"/>
  <c r="Q33" i="4"/>
  <c r="O33" i="4"/>
  <c r="M33" i="4"/>
  <c r="S33" i="4" s="1"/>
  <c r="R32" i="4"/>
  <c r="P32" i="4"/>
  <c r="U32" i="4" s="1"/>
  <c r="V32" i="4" s="1"/>
  <c r="O32" i="4"/>
  <c r="W32" i="4" s="1"/>
  <c r="M32" i="4"/>
  <c r="S32" i="4" s="1"/>
  <c r="R31" i="4"/>
  <c r="Q31" i="4"/>
  <c r="O31" i="4"/>
  <c r="P31" i="4" s="1"/>
  <c r="U31" i="4" s="1"/>
  <c r="V31" i="4" s="1"/>
  <c r="M31" i="4"/>
  <c r="S31" i="4" s="1"/>
  <c r="R30" i="4"/>
  <c r="P30" i="4"/>
  <c r="U30" i="4" s="1"/>
  <c r="V30" i="4" s="1"/>
  <c r="O30" i="4"/>
  <c r="W30" i="4" s="1"/>
  <c r="M30" i="4"/>
  <c r="S30" i="4" s="1"/>
  <c r="T30" i="4" s="1"/>
  <c r="R29" i="4"/>
  <c r="M29" i="4" s="1"/>
  <c r="S29" i="4" s="1"/>
  <c r="Q29" i="4"/>
  <c r="O29" i="4"/>
  <c r="W29" i="4" s="1"/>
  <c r="R28" i="4"/>
  <c r="M28" i="4" s="1"/>
  <c r="S28" i="4" s="1"/>
  <c r="T28" i="4" s="1"/>
  <c r="O28" i="4"/>
  <c r="W28" i="4" s="1"/>
  <c r="R27" i="4"/>
  <c r="M27" i="4" s="1"/>
  <c r="S27" i="4" s="1"/>
  <c r="O27" i="4"/>
  <c r="Q27" i="4" s="1"/>
  <c r="R26" i="4"/>
  <c r="M26" i="4" s="1"/>
  <c r="S26" i="4" s="1"/>
  <c r="T26" i="4" s="1"/>
  <c r="O26" i="4"/>
  <c r="W26" i="4" s="1"/>
  <c r="R25" i="4"/>
  <c r="M25" i="4" s="1"/>
  <c r="S25" i="4" s="1"/>
  <c r="O25" i="4"/>
  <c r="Q25" i="4" s="1"/>
  <c r="R24" i="4"/>
  <c r="M24" i="4" s="1"/>
  <c r="S24" i="4" s="1"/>
  <c r="O24" i="4"/>
  <c r="W24" i="4" s="1"/>
  <c r="R23" i="4"/>
  <c r="M23" i="4" s="1"/>
  <c r="S23" i="4" s="1"/>
  <c r="O23" i="4"/>
  <c r="Q23" i="4" s="1"/>
  <c r="R22" i="4"/>
  <c r="M22" i="4" s="1"/>
  <c r="S22" i="4" s="1"/>
  <c r="T22" i="4" s="1"/>
  <c r="O22" i="4"/>
  <c r="W22" i="4" s="1"/>
  <c r="R21" i="4"/>
  <c r="M21" i="4" s="1"/>
  <c r="S21" i="4" s="1"/>
  <c r="O21" i="4"/>
  <c r="Q21" i="4" s="1"/>
  <c r="R20" i="4"/>
  <c r="P20" i="4"/>
  <c r="U20" i="4" s="1"/>
  <c r="V20" i="4" s="1"/>
  <c r="O20" i="4"/>
  <c r="W20" i="4" s="1"/>
  <c r="M20" i="4"/>
  <c r="S20" i="4" s="1"/>
  <c r="T20" i="4" s="1"/>
  <c r="R19" i="4"/>
  <c r="M19" i="4" s="1"/>
  <c r="S19" i="4" s="1"/>
  <c r="Q19" i="4"/>
  <c r="O19" i="4"/>
  <c r="R18" i="4"/>
  <c r="M18" i="4" s="1"/>
  <c r="S18" i="4" s="1"/>
  <c r="O18" i="4"/>
  <c r="W18" i="4" s="1"/>
  <c r="R17" i="4"/>
  <c r="M17" i="4" s="1"/>
  <c r="S17" i="4" s="1"/>
  <c r="O17" i="4"/>
  <c r="Q17" i="4" s="1"/>
  <c r="R16" i="4"/>
  <c r="M16" i="4" s="1"/>
  <c r="S16" i="4" s="1"/>
  <c r="O16" i="4"/>
  <c r="W16" i="4" s="1"/>
  <c r="R15" i="4"/>
  <c r="M15" i="4" s="1"/>
  <c r="S15" i="4" s="1"/>
  <c r="O15" i="4"/>
  <c r="Q15" i="4" s="1"/>
  <c r="S14" i="4"/>
  <c r="R14" i="4"/>
  <c r="O14" i="4"/>
  <c r="W14" i="4" s="1"/>
  <c r="N13" i="4"/>
  <c r="M13" i="4" s="1"/>
  <c r="R13" i="4" s="1"/>
  <c r="L13" i="4"/>
  <c r="K13" i="4"/>
  <c r="O12" i="4"/>
  <c r="Q12" i="4" s="1"/>
  <c r="M12" i="4"/>
  <c r="R12" i="4" s="1"/>
  <c r="L12" i="4"/>
  <c r="S12" i="4" s="1"/>
  <c r="M11" i="4"/>
  <c r="L11" i="4"/>
  <c r="O11" i="4" s="1"/>
  <c r="N10" i="4"/>
  <c r="M10" i="4" s="1"/>
  <c r="R10" i="4" s="1"/>
  <c r="K10" i="4"/>
  <c r="L10" i="4" s="1"/>
  <c r="O9" i="4"/>
  <c r="N9" i="4"/>
  <c r="M9" i="4" s="1"/>
  <c r="S9" i="4" s="1"/>
  <c r="L9" i="4"/>
  <c r="N8" i="4"/>
  <c r="M8" i="4" s="1"/>
  <c r="R8" i="4" s="1"/>
  <c r="L8" i="4"/>
  <c r="S8" i="4" s="1"/>
  <c r="K8" i="4"/>
  <c r="O7" i="4"/>
  <c r="M7" i="4"/>
  <c r="R7" i="4" s="1"/>
  <c r="L7" i="4"/>
  <c r="S7" i="4" s="1"/>
  <c r="W6" i="4"/>
  <c r="V6" i="4"/>
  <c r="R6" i="4"/>
  <c r="M6" i="4"/>
  <c r="L6" i="4"/>
  <c r="O6" i="4" s="1"/>
  <c r="S5" i="4"/>
  <c r="O5" i="4"/>
  <c r="Q5" i="4" s="1"/>
  <c r="M5" i="4"/>
  <c r="R5" i="4" s="1"/>
  <c r="L5" i="4"/>
  <c r="W4" i="4"/>
  <c r="V4" i="4"/>
  <c r="N4" i="4"/>
  <c r="M4" i="4" s="1"/>
  <c r="R4" i="4" s="1"/>
  <c r="L4" i="4"/>
  <c r="O4" i="4" s="1"/>
  <c r="K4" i="4"/>
  <c r="W3" i="4"/>
  <c r="N3" i="4"/>
  <c r="M3" i="4" s="1"/>
  <c r="R3" i="4" s="1"/>
  <c r="K3" i="4"/>
  <c r="V3" i="4" s="1"/>
  <c r="T7" i="4" l="1"/>
  <c r="S11" i="4"/>
  <c r="O8" i="4"/>
  <c r="W8" i="4" s="1"/>
  <c r="O38" i="4"/>
  <c r="P38" i="4" s="1"/>
  <c r="O39" i="4"/>
  <c r="P39" i="4" s="1"/>
  <c r="T16" i="4"/>
  <c r="P7" i="4"/>
  <c r="U7" i="4" s="1"/>
  <c r="V7" i="4" s="1"/>
  <c r="T12" i="4"/>
  <c r="X12" i="4" s="1"/>
  <c r="P14" i="4"/>
  <c r="U14" i="4" s="1"/>
  <c r="V14" i="4" s="1"/>
  <c r="P16" i="4"/>
  <c r="U16" i="4" s="1"/>
  <c r="V16" i="4" s="1"/>
  <c r="P22" i="4"/>
  <c r="U22" i="4" s="1"/>
  <c r="V22" i="4" s="1"/>
  <c r="P24" i="4"/>
  <c r="U24" i="4" s="1"/>
  <c r="V24" i="4" s="1"/>
  <c r="T32" i="4"/>
  <c r="Y32" i="4" s="1"/>
  <c r="AC32" i="4" s="1"/>
  <c r="T24" i="4"/>
  <c r="T18" i="4"/>
  <c r="P12" i="4"/>
  <c r="U12" i="4" s="1"/>
  <c r="V12" i="4" s="1"/>
  <c r="T14" i="4"/>
  <c r="P18" i="4"/>
  <c r="U18" i="4" s="1"/>
  <c r="V18" i="4" s="1"/>
  <c r="P26" i="4"/>
  <c r="U26" i="4" s="1"/>
  <c r="V26" i="4" s="1"/>
  <c r="P28" i="4"/>
  <c r="U28" i="4" s="1"/>
  <c r="V28" i="4" s="1"/>
  <c r="X28" i="4" s="1"/>
  <c r="P29" i="4"/>
  <c r="U29" i="4" s="1"/>
  <c r="V29" i="4" s="1"/>
  <c r="X24" i="4"/>
  <c r="T31" i="4"/>
  <c r="X32" i="4"/>
  <c r="X20" i="4"/>
  <c r="X16" i="4"/>
  <c r="P4" i="4"/>
  <c r="P6" i="4"/>
  <c r="Y7" i="4"/>
  <c r="Y14" i="4"/>
  <c r="AC14" i="4" s="1"/>
  <c r="T15" i="4"/>
  <c r="Y22" i="4"/>
  <c r="AC22" i="4" s="1"/>
  <c r="T23" i="4"/>
  <c r="S37" i="4"/>
  <c r="O37" i="4"/>
  <c r="L3" i="4"/>
  <c r="P5" i="4"/>
  <c r="U5" i="4" s="1"/>
  <c r="T5" i="4"/>
  <c r="S6" i="4"/>
  <c r="T6" i="4" s="1"/>
  <c r="Q7" i="4"/>
  <c r="W7" i="4"/>
  <c r="AC7" i="4" s="1"/>
  <c r="Q9" i="4"/>
  <c r="P9" i="4"/>
  <c r="U9" i="4" s="1"/>
  <c r="V9" i="4" s="1"/>
  <c r="W9" i="4"/>
  <c r="R11" i="4"/>
  <c r="T11" i="4" s="1"/>
  <c r="X14" i="4"/>
  <c r="Y20" i="4"/>
  <c r="AC20" i="4" s="1"/>
  <c r="T21" i="4"/>
  <c r="X22" i="4"/>
  <c r="Y28" i="4"/>
  <c r="AC28" i="4" s="1"/>
  <c r="Q35" i="4"/>
  <c r="T35" i="4"/>
  <c r="P35" i="4"/>
  <c r="U35" i="4" s="1"/>
  <c r="V35" i="4" s="1"/>
  <c r="T39" i="4"/>
  <c r="X39" i="4" s="1"/>
  <c r="AC39" i="4" s="1"/>
  <c r="P8" i="4"/>
  <c r="U8" i="4" s="1"/>
  <c r="V8" i="4" s="1"/>
  <c r="S10" i="4"/>
  <c r="O10" i="4"/>
  <c r="Q11" i="4"/>
  <c r="P11" i="4"/>
  <c r="U11" i="4" s="1"/>
  <c r="V11" i="4" s="1"/>
  <c r="S4" i="4"/>
  <c r="T4" i="4" s="1"/>
  <c r="R9" i="4"/>
  <c r="T9" i="4" s="1"/>
  <c r="O13" i="4"/>
  <c r="S13" i="4"/>
  <c r="Y18" i="4"/>
  <c r="AC18" i="4" s="1"/>
  <c r="T19" i="4"/>
  <c r="Y26" i="4"/>
  <c r="AC26" i="4" s="1"/>
  <c r="T27" i="4"/>
  <c r="AC30" i="4"/>
  <c r="Y30" i="4"/>
  <c r="Y31" i="4"/>
  <c r="Y34" i="4"/>
  <c r="AC34" i="4" s="1"/>
  <c r="P36" i="4"/>
  <c r="T36" i="4"/>
  <c r="T29" i="4"/>
  <c r="G40" i="4"/>
  <c r="W11" i="4"/>
  <c r="Y16" i="4"/>
  <c r="AC16" i="4" s="1"/>
  <c r="T17" i="4"/>
  <c r="X18" i="4"/>
  <c r="Y24" i="4"/>
  <c r="AC24" i="4" s="1"/>
  <c r="T25" i="4"/>
  <c r="X26" i="4"/>
  <c r="X30" i="4"/>
  <c r="T33" i="4"/>
  <c r="X34" i="4"/>
  <c r="Q14" i="4"/>
  <c r="W15" i="4"/>
  <c r="Q16" i="4"/>
  <c r="W17" i="4"/>
  <c r="Q18" i="4"/>
  <c r="W19" i="4"/>
  <c r="Q20" i="4"/>
  <c r="W21" i="4"/>
  <c r="Q22" i="4"/>
  <c r="W23" i="4"/>
  <c r="Q24" i="4"/>
  <c r="W25" i="4"/>
  <c r="Q26" i="4"/>
  <c r="W27" i="4"/>
  <c r="Q28" i="4"/>
  <c r="Q30" i="4"/>
  <c r="W31" i="4"/>
  <c r="AC31" i="4" s="1"/>
  <c r="Q32" i="4"/>
  <c r="W33" i="4"/>
  <c r="Q34" i="4"/>
  <c r="P15" i="4"/>
  <c r="U15" i="4" s="1"/>
  <c r="V15" i="4" s="1"/>
  <c r="P17" i="4"/>
  <c r="U17" i="4" s="1"/>
  <c r="V17" i="4" s="1"/>
  <c r="P19" i="4"/>
  <c r="U19" i="4" s="1"/>
  <c r="V19" i="4" s="1"/>
  <c r="P21" i="4"/>
  <c r="U21" i="4" s="1"/>
  <c r="V21" i="4" s="1"/>
  <c r="P23" i="4"/>
  <c r="U23" i="4" s="1"/>
  <c r="V23" i="4" s="1"/>
  <c r="P25" i="4"/>
  <c r="U25" i="4" s="1"/>
  <c r="V25" i="4" s="1"/>
  <c r="P27" i="4"/>
  <c r="U27" i="4" s="1"/>
  <c r="V27" i="4" s="1"/>
  <c r="P33" i="4"/>
  <c r="U33" i="4" s="1"/>
  <c r="V33" i="4" s="1"/>
  <c r="L37" i="3"/>
  <c r="L38" i="3"/>
  <c r="L39" i="3"/>
  <c r="L36" i="3"/>
  <c r="Y12" i="4" l="1"/>
  <c r="AC12" i="4" s="1"/>
  <c r="T38" i="4"/>
  <c r="T8" i="4"/>
  <c r="Y8" i="4" s="1"/>
  <c r="AC8" i="4" s="1"/>
  <c r="Q8" i="4"/>
  <c r="Y4" i="4"/>
  <c r="X4" i="4"/>
  <c r="AC4" i="4"/>
  <c r="AC11" i="4"/>
  <c r="Y11" i="4"/>
  <c r="X11" i="4"/>
  <c r="Y9" i="4"/>
  <c r="AC9" i="4" s="1"/>
  <c r="X9" i="4"/>
  <c r="R40" i="4"/>
  <c r="Y36" i="4"/>
  <c r="X36" i="4"/>
  <c r="X31" i="4"/>
  <c r="Y27" i="4"/>
  <c r="AC27" i="4" s="1"/>
  <c r="X27" i="4"/>
  <c r="V5" i="4"/>
  <c r="Y23" i="4"/>
  <c r="AC23" i="4" s="1"/>
  <c r="X23" i="4"/>
  <c r="X7" i="4"/>
  <c r="Y38" i="4"/>
  <c r="X38" i="4"/>
  <c r="Y29" i="4"/>
  <c r="X29" i="4"/>
  <c r="AC29" i="4"/>
  <c r="Y19" i="4"/>
  <c r="AC19" i="4" s="1"/>
  <c r="X19" i="4"/>
  <c r="Y5" i="4"/>
  <c r="Y15" i="4"/>
  <c r="AC15" i="4" s="1"/>
  <c r="X15" i="4"/>
  <c r="Y6" i="4"/>
  <c r="AC6" i="4" s="1"/>
  <c r="X6" i="4"/>
  <c r="Y33" i="4"/>
  <c r="AC33" i="4" s="1"/>
  <c r="X33" i="4"/>
  <c r="Y35" i="4"/>
  <c r="AC35" i="4" s="1"/>
  <c r="X35" i="4"/>
  <c r="S3" i="4"/>
  <c r="S40" i="4" s="1"/>
  <c r="O3" i="4"/>
  <c r="T13" i="4"/>
  <c r="W13" i="4"/>
  <c r="P13" i="4"/>
  <c r="U13" i="4" s="1"/>
  <c r="V13" i="4" s="1"/>
  <c r="Y25" i="4"/>
  <c r="AC25" i="4" s="1"/>
  <c r="X25" i="4"/>
  <c r="Y17" i="4"/>
  <c r="AC17" i="4" s="1"/>
  <c r="X17" i="4"/>
  <c r="T10" i="4"/>
  <c r="P10" i="4"/>
  <c r="U10" i="4" s="1"/>
  <c r="V10" i="4" s="1"/>
  <c r="W10" i="4"/>
  <c r="W40" i="4" s="1"/>
  <c r="Q10" i="4"/>
  <c r="Y21" i="4"/>
  <c r="AC21" i="4" s="1"/>
  <c r="X21" i="4"/>
  <c r="P37" i="4"/>
  <c r="T37" i="4"/>
  <c r="AC21" i="3"/>
  <c r="R21" i="3"/>
  <c r="P21" i="3"/>
  <c r="O21" i="3"/>
  <c r="V21" i="3"/>
  <c r="U21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18" i="3"/>
  <c r="W17" i="3"/>
  <c r="W16" i="3"/>
  <c r="W15" i="3"/>
  <c r="W14" i="3"/>
  <c r="W6" i="3"/>
  <c r="W4" i="3"/>
  <c r="W3" i="3"/>
  <c r="M5" i="3"/>
  <c r="R5" i="3" s="1"/>
  <c r="M6" i="3"/>
  <c r="M7" i="3"/>
  <c r="R7" i="3" s="1"/>
  <c r="M8" i="3"/>
  <c r="R8" i="3" s="1"/>
  <c r="M9" i="3"/>
  <c r="M10" i="3"/>
  <c r="R10" i="3" s="1"/>
  <c r="M11" i="3"/>
  <c r="R11" i="3" s="1"/>
  <c r="M12" i="3"/>
  <c r="M13" i="3"/>
  <c r="R13" i="3" s="1"/>
  <c r="M4" i="3"/>
  <c r="R4" i="3" s="1"/>
  <c r="M3" i="3"/>
  <c r="R3" i="3" s="1"/>
  <c r="L13" i="3"/>
  <c r="L12" i="3"/>
  <c r="L11" i="3"/>
  <c r="L10" i="3"/>
  <c r="L9" i="3"/>
  <c r="L8" i="3"/>
  <c r="L7" i="3"/>
  <c r="L6" i="3"/>
  <c r="L5" i="3"/>
  <c r="L4" i="3"/>
  <c r="L3" i="3"/>
  <c r="R12" i="3"/>
  <c r="R9" i="3"/>
  <c r="R6" i="3"/>
  <c r="X8" i="4" l="1"/>
  <c r="Q40" i="4"/>
  <c r="AC5" i="4"/>
  <c r="O40" i="4"/>
  <c r="T3" i="4"/>
  <c r="P3" i="4"/>
  <c r="P40" i="4" s="1"/>
  <c r="V40" i="4"/>
  <c r="X37" i="4"/>
  <c r="Y37" i="4"/>
  <c r="X10" i="4"/>
  <c r="Y10" i="4"/>
  <c r="AC10" i="4" s="1"/>
  <c r="U40" i="4"/>
  <c r="X13" i="4"/>
  <c r="Y13" i="4"/>
  <c r="AC13" i="4" s="1"/>
  <c r="X5" i="4"/>
  <c r="AC38" i="4"/>
  <c r="AC36" i="4"/>
  <c r="S30" i="3"/>
  <c r="S29" i="3"/>
  <c r="S28" i="3"/>
  <c r="S27" i="3"/>
  <c r="S26" i="3"/>
  <c r="S25" i="3"/>
  <c r="S24" i="3"/>
  <c r="S23" i="3"/>
  <c r="S22" i="3"/>
  <c r="S21" i="3"/>
  <c r="S19" i="3"/>
  <c r="S18" i="3"/>
  <c r="S17" i="3"/>
  <c r="S16" i="3"/>
  <c r="S15" i="3"/>
  <c r="T40" i="4" l="1"/>
  <c r="X3" i="4"/>
  <c r="X40" i="4" s="1"/>
  <c r="Y3" i="4"/>
  <c r="Y40" i="4" s="1"/>
  <c r="AC37" i="4"/>
  <c r="S7" i="3"/>
  <c r="O7" i="3"/>
  <c r="W7" i="3" s="1"/>
  <c r="G7" i="3"/>
  <c r="AC3" i="4" l="1"/>
  <c r="AC40" i="4" s="1"/>
  <c r="Q7" i="3"/>
  <c r="P7" i="3"/>
  <c r="U7" i="3" s="1"/>
  <c r="V7" i="3" s="1"/>
  <c r="T7" i="3"/>
  <c r="V37" i="3"/>
  <c r="S37" i="3"/>
  <c r="G37" i="3"/>
  <c r="Y7" i="3" l="1"/>
  <c r="AC7" i="3" s="1"/>
  <c r="X7" i="3"/>
  <c r="O37" i="3"/>
  <c r="P37" i="3" s="1"/>
  <c r="T37" i="3"/>
  <c r="O39" i="3"/>
  <c r="P39" i="3" s="1"/>
  <c r="O38" i="3"/>
  <c r="O6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8" i="3"/>
  <c r="G39" i="3"/>
  <c r="G3" i="3"/>
  <c r="AB40" i="3"/>
  <c r="AA40" i="3"/>
  <c r="Z40" i="3"/>
  <c r="H40" i="3"/>
  <c r="F40" i="3"/>
  <c r="S39" i="3"/>
  <c r="V38" i="3"/>
  <c r="V36" i="3"/>
  <c r="S35" i="3"/>
  <c r="R35" i="3"/>
  <c r="O35" i="3"/>
  <c r="R34" i="3"/>
  <c r="M34" i="3" s="1"/>
  <c r="S34" i="3" s="1"/>
  <c r="O34" i="3"/>
  <c r="Q34" i="3" s="1"/>
  <c r="R33" i="3"/>
  <c r="M33" i="3" s="1"/>
  <c r="S33" i="3" s="1"/>
  <c r="O33" i="3"/>
  <c r="R32" i="3"/>
  <c r="M32" i="3" s="1"/>
  <c r="S32" i="3" s="1"/>
  <c r="O32" i="3"/>
  <c r="R31" i="3"/>
  <c r="M31" i="3" s="1"/>
  <c r="S31" i="3" s="1"/>
  <c r="O31" i="3"/>
  <c r="R30" i="3"/>
  <c r="M30" i="3" s="1"/>
  <c r="O30" i="3"/>
  <c r="R29" i="3"/>
  <c r="M29" i="3" s="1"/>
  <c r="O29" i="3"/>
  <c r="R28" i="3"/>
  <c r="M28" i="3" s="1"/>
  <c r="O28" i="3"/>
  <c r="R27" i="3"/>
  <c r="M27" i="3" s="1"/>
  <c r="O27" i="3"/>
  <c r="R26" i="3"/>
  <c r="M26" i="3" s="1"/>
  <c r="O26" i="3"/>
  <c r="R25" i="3"/>
  <c r="M25" i="3" s="1"/>
  <c r="O25" i="3"/>
  <c r="R24" i="3"/>
  <c r="O24" i="3"/>
  <c r="M24" i="3"/>
  <c r="R23" i="3"/>
  <c r="M23" i="3" s="1"/>
  <c r="O23" i="3"/>
  <c r="R22" i="3"/>
  <c r="M22" i="3" s="1"/>
  <c r="O22" i="3"/>
  <c r="M21" i="3"/>
  <c r="R20" i="3"/>
  <c r="M20" i="3" s="1"/>
  <c r="S20" i="3" s="1"/>
  <c r="O20" i="3"/>
  <c r="R19" i="3"/>
  <c r="M19" i="3" s="1"/>
  <c r="O19" i="3"/>
  <c r="R18" i="3"/>
  <c r="M18" i="3" s="1"/>
  <c r="O18" i="3"/>
  <c r="R17" i="3"/>
  <c r="M17" i="3" s="1"/>
  <c r="O17" i="3"/>
  <c r="R16" i="3"/>
  <c r="M16" i="3" s="1"/>
  <c r="O16" i="3"/>
  <c r="R15" i="3"/>
  <c r="M15" i="3" s="1"/>
  <c r="O15" i="3"/>
  <c r="S14" i="3"/>
  <c r="R14" i="3"/>
  <c r="O14" i="3"/>
  <c r="N13" i="3"/>
  <c r="K13" i="3"/>
  <c r="O13" i="3" s="1"/>
  <c r="W13" i="3" s="1"/>
  <c r="N10" i="3"/>
  <c r="K10" i="3"/>
  <c r="N9" i="3"/>
  <c r="O9" i="3"/>
  <c r="W9" i="3" s="1"/>
  <c r="N8" i="3"/>
  <c r="K8" i="3"/>
  <c r="V6" i="3"/>
  <c r="O5" i="3"/>
  <c r="Q5" i="3" s="1"/>
  <c r="N4" i="3"/>
  <c r="K4" i="3"/>
  <c r="V4" i="3" s="1"/>
  <c r="N3" i="3"/>
  <c r="K3" i="3"/>
  <c r="O3" i="3" s="1"/>
  <c r="T20" i="3" l="1"/>
  <c r="Y20" i="3" s="1"/>
  <c r="T18" i="3"/>
  <c r="S38" i="3"/>
  <c r="T38" i="3" s="1"/>
  <c r="V3" i="3"/>
  <c r="S5" i="3"/>
  <c r="T5" i="3" s="1"/>
  <c r="S6" i="3"/>
  <c r="T6" i="3" s="1"/>
  <c r="Y6" i="3" s="1"/>
  <c r="AC6" i="3" s="1"/>
  <c r="P24" i="3"/>
  <c r="U24" i="3" s="1"/>
  <c r="V24" i="3" s="1"/>
  <c r="Q24" i="3"/>
  <c r="T16" i="3"/>
  <c r="Y16" i="3" s="1"/>
  <c r="P18" i="3"/>
  <c r="U18" i="3" s="1"/>
  <c r="V18" i="3" s="1"/>
  <c r="S3" i="3"/>
  <c r="T3" i="3" s="1"/>
  <c r="P20" i="3"/>
  <c r="U20" i="3" s="1"/>
  <c r="V20" i="3" s="1"/>
  <c r="AC20" i="3" s="1"/>
  <c r="O10" i="3"/>
  <c r="W10" i="3" s="1"/>
  <c r="S9" i="3"/>
  <c r="T9" i="3" s="1"/>
  <c r="Y37" i="3"/>
  <c r="X37" i="3"/>
  <c r="Q14" i="3"/>
  <c r="Q22" i="3"/>
  <c r="T32" i="3"/>
  <c r="Y32" i="3" s="1"/>
  <c r="T14" i="3"/>
  <c r="Y14" i="3" s="1"/>
  <c r="S11" i="3"/>
  <c r="P14" i="3"/>
  <c r="U14" i="3" s="1"/>
  <c r="V14" i="3" s="1"/>
  <c r="Q18" i="3"/>
  <c r="Q20" i="3"/>
  <c r="P22" i="3"/>
  <c r="U22" i="3" s="1"/>
  <c r="V22" i="3" s="1"/>
  <c r="T30" i="3"/>
  <c r="O11" i="3"/>
  <c r="P26" i="3"/>
  <c r="U26" i="3" s="1"/>
  <c r="V26" i="3" s="1"/>
  <c r="P28" i="3"/>
  <c r="U28" i="3" s="1"/>
  <c r="V28" i="3" s="1"/>
  <c r="P35" i="3"/>
  <c r="U35" i="3" s="1"/>
  <c r="V35" i="3" s="1"/>
  <c r="R40" i="3"/>
  <c r="P5" i="3"/>
  <c r="U5" i="3" s="1"/>
  <c r="V5" i="3" s="1"/>
  <c r="P16" i="3"/>
  <c r="U16" i="3" s="1"/>
  <c r="V16" i="3" s="1"/>
  <c r="T22" i="3"/>
  <c r="X22" i="3" s="1"/>
  <c r="T24" i="3"/>
  <c r="Y24" i="3" s="1"/>
  <c r="Q26" i="3"/>
  <c r="Q28" i="3"/>
  <c r="P30" i="3"/>
  <c r="U30" i="3" s="1"/>
  <c r="V30" i="3" s="1"/>
  <c r="P32" i="3"/>
  <c r="U32" i="3" s="1"/>
  <c r="V32" i="3" s="1"/>
  <c r="T34" i="3"/>
  <c r="Y34" i="3" s="1"/>
  <c r="T35" i="3"/>
  <c r="Y35" i="3" s="1"/>
  <c r="G40" i="3"/>
  <c r="Q16" i="3"/>
  <c r="T26" i="3"/>
  <c r="Y26" i="3" s="1"/>
  <c r="AC26" i="3" s="1"/>
  <c r="T28" i="3"/>
  <c r="Y28" i="3" s="1"/>
  <c r="Q30" i="3"/>
  <c r="Q32" i="3"/>
  <c r="P34" i="3"/>
  <c r="U34" i="3" s="1"/>
  <c r="V34" i="3" s="1"/>
  <c r="P3" i="3"/>
  <c r="Q9" i="3"/>
  <c r="P9" i="3"/>
  <c r="U9" i="3" s="1"/>
  <c r="V9" i="3" s="1"/>
  <c r="Q17" i="3"/>
  <c r="T17" i="3"/>
  <c r="P17" i="3"/>
  <c r="U17" i="3" s="1"/>
  <c r="V17" i="3" s="1"/>
  <c r="Q25" i="3"/>
  <c r="T25" i="3"/>
  <c r="P25" i="3"/>
  <c r="U25" i="3" s="1"/>
  <c r="V25" i="3" s="1"/>
  <c r="Q33" i="3"/>
  <c r="T33" i="3"/>
  <c r="P33" i="3"/>
  <c r="U33" i="3" s="1"/>
  <c r="V33" i="3" s="1"/>
  <c r="S36" i="3"/>
  <c r="O36" i="3"/>
  <c r="P6" i="3"/>
  <c r="S12" i="3"/>
  <c r="P13" i="3"/>
  <c r="U13" i="3" s="1"/>
  <c r="V13" i="3" s="1"/>
  <c r="X18" i="3"/>
  <c r="T39" i="3"/>
  <c r="X39" i="3" s="1"/>
  <c r="AC39" i="3" s="1"/>
  <c r="Q29" i="3"/>
  <c r="T29" i="3"/>
  <c r="P29" i="3"/>
  <c r="U29" i="3" s="1"/>
  <c r="V29" i="3" s="1"/>
  <c r="Q15" i="3"/>
  <c r="T15" i="3"/>
  <c r="P15" i="3"/>
  <c r="U15" i="3" s="1"/>
  <c r="V15" i="3" s="1"/>
  <c r="Q19" i="3"/>
  <c r="T19" i="3"/>
  <c r="P19" i="3"/>
  <c r="U19" i="3" s="1"/>
  <c r="V19" i="3" s="1"/>
  <c r="Q23" i="3"/>
  <c r="T23" i="3"/>
  <c r="P23" i="3"/>
  <c r="U23" i="3" s="1"/>
  <c r="V23" i="3" s="1"/>
  <c r="Q27" i="3"/>
  <c r="T27" i="3"/>
  <c r="P27" i="3"/>
  <c r="U27" i="3" s="1"/>
  <c r="V27" i="3" s="1"/>
  <c r="Q31" i="3"/>
  <c r="T31" i="3"/>
  <c r="P31" i="3"/>
  <c r="U31" i="3" s="1"/>
  <c r="V31" i="3" s="1"/>
  <c r="Q21" i="3"/>
  <c r="T21" i="3"/>
  <c r="Y18" i="3"/>
  <c r="AC18" i="3" s="1"/>
  <c r="P38" i="3"/>
  <c r="O12" i="3"/>
  <c r="S13" i="3"/>
  <c r="T13" i="3" s="1"/>
  <c r="Q35" i="3"/>
  <c r="S32" i="2"/>
  <c r="S31" i="2"/>
  <c r="R32" i="2"/>
  <c r="R31" i="2"/>
  <c r="S33" i="2"/>
  <c r="R33" i="2"/>
  <c r="Q10" i="3" l="1"/>
  <c r="P11" i="3"/>
  <c r="U11" i="3" s="1"/>
  <c r="V11" i="3" s="1"/>
  <c r="W11" i="3"/>
  <c r="P10" i="3"/>
  <c r="U10" i="3" s="1"/>
  <c r="V10" i="3" s="1"/>
  <c r="X32" i="3"/>
  <c r="X20" i="3"/>
  <c r="AC35" i="3"/>
  <c r="AC16" i="3"/>
  <c r="AC14" i="3"/>
  <c r="X24" i="3"/>
  <c r="X30" i="3"/>
  <c r="Y22" i="3"/>
  <c r="AC22" i="3" s="1"/>
  <c r="Y30" i="3"/>
  <c r="AC30" i="3" s="1"/>
  <c r="X16" i="3"/>
  <c r="S10" i="3"/>
  <c r="T10" i="3" s="1"/>
  <c r="Y10" i="3" s="1"/>
  <c r="AC37" i="3"/>
  <c r="AC32" i="3"/>
  <c r="T11" i="3"/>
  <c r="Y11" i="3" s="1"/>
  <c r="AC34" i="3"/>
  <c r="X35" i="3"/>
  <c r="X14" i="3"/>
  <c r="Q11" i="3"/>
  <c r="X6" i="3"/>
  <c r="X26" i="3"/>
  <c r="AC28" i="3"/>
  <c r="X28" i="3"/>
  <c r="X34" i="3"/>
  <c r="AC24" i="3"/>
  <c r="Y13" i="3"/>
  <c r="AC13" i="3" s="1"/>
  <c r="X13" i="3"/>
  <c r="O8" i="3"/>
  <c r="W8" i="3" s="1"/>
  <c r="S8" i="3"/>
  <c r="S4" i="3"/>
  <c r="O4" i="3"/>
  <c r="Y27" i="3"/>
  <c r="AC27" i="3" s="1"/>
  <c r="X27" i="3"/>
  <c r="P36" i="3"/>
  <c r="T36" i="3"/>
  <c r="X3" i="3"/>
  <c r="Y3" i="3"/>
  <c r="AC3" i="3" s="1"/>
  <c r="Y21" i="3"/>
  <c r="X21" i="3"/>
  <c r="Y23" i="3"/>
  <c r="AC23" i="3" s="1"/>
  <c r="X23" i="3"/>
  <c r="Y33" i="3"/>
  <c r="AC33" i="3" s="1"/>
  <c r="X33" i="3"/>
  <c r="Y38" i="3"/>
  <c r="X38" i="3"/>
  <c r="Y31" i="3"/>
  <c r="AC31" i="3" s="1"/>
  <c r="X31" i="3"/>
  <c r="Y15" i="3"/>
  <c r="AC15" i="3" s="1"/>
  <c r="X15" i="3"/>
  <c r="Y29" i="3"/>
  <c r="AC29" i="3" s="1"/>
  <c r="X29" i="3"/>
  <c r="Y17" i="3"/>
  <c r="AC17" i="3" s="1"/>
  <c r="X17" i="3"/>
  <c r="Y9" i="3"/>
  <c r="AC9" i="3" s="1"/>
  <c r="X9" i="3"/>
  <c r="Y5" i="3"/>
  <c r="AC5" i="3" s="1"/>
  <c r="X5" i="3"/>
  <c r="Q12" i="3"/>
  <c r="T12" i="3"/>
  <c r="P12" i="3"/>
  <c r="U12" i="3" s="1"/>
  <c r="V12" i="3" s="1"/>
  <c r="Y19" i="3"/>
  <c r="AC19" i="3" s="1"/>
  <c r="X19" i="3"/>
  <c r="Y25" i="3"/>
  <c r="AC25" i="3" s="1"/>
  <c r="X25" i="3"/>
  <c r="M29" i="2"/>
  <c r="M30" i="2"/>
  <c r="M31" i="2"/>
  <c r="M32" i="2"/>
  <c r="M33" i="2"/>
  <c r="M34" i="2"/>
  <c r="R15" i="2"/>
  <c r="X10" i="3" l="1"/>
  <c r="AC10" i="3"/>
  <c r="S40" i="3"/>
  <c r="AC11" i="3"/>
  <c r="X11" i="3"/>
  <c r="Q8" i="3"/>
  <c r="Q40" i="3" s="1"/>
  <c r="W40" i="3"/>
  <c r="P8" i="3"/>
  <c r="U8" i="3" s="1"/>
  <c r="T8" i="3"/>
  <c r="Y12" i="3"/>
  <c r="AC12" i="3" s="1"/>
  <c r="X12" i="3"/>
  <c r="AC38" i="3"/>
  <c r="X36" i="3"/>
  <c r="Y36" i="3"/>
  <c r="T4" i="3"/>
  <c r="P4" i="3"/>
  <c r="P40" i="3" s="1"/>
  <c r="O40" i="3"/>
  <c r="R34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S34" i="2"/>
  <c r="AE34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15" i="1"/>
  <c r="AC36" i="3" l="1"/>
  <c r="X4" i="3"/>
  <c r="Y4" i="3"/>
  <c r="AC4" i="3" s="1"/>
  <c r="T40" i="3"/>
  <c r="Y8" i="3"/>
  <c r="V8" i="3"/>
  <c r="V40" i="3" s="1"/>
  <c r="U40" i="3"/>
  <c r="W10" i="2"/>
  <c r="Y40" i="3" l="1"/>
  <c r="X8" i="3"/>
  <c r="X40" i="3" s="1"/>
  <c r="AC8" i="3"/>
  <c r="AC40" i="3" s="1"/>
  <c r="L37" i="2"/>
  <c r="L38" i="2"/>
  <c r="L36" i="2"/>
  <c r="S36" i="2" s="1"/>
  <c r="R13" i="2"/>
  <c r="R10" i="2"/>
  <c r="R9" i="2"/>
  <c r="R8" i="2"/>
  <c r="R7" i="2"/>
  <c r="R6" i="2"/>
  <c r="R5" i="2"/>
  <c r="R4" i="2"/>
  <c r="R3" i="2"/>
  <c r="M4" i="2"/>
  <c r="M5" i="2"/>
  <c r="M6" i="2"/>
  <c r="S6" i="2" s="1"/>
  <c r="M7" i="2"/>
  <c r="S7" i="2" s="1"/>
  <c r="M8" i="2"/>
  <c r="M9" i="2"/>
  <c r="M10" i="2"/>
  <c r="M11" i="2"/>
  <c r="M12" i="2"/>
  <c r="M13" i="2"/>
  <c r="M3" i="2"/>
  <c r="L4" i="2"/>
  <c r="L5" i="2"/>
  <c r="L6" i="2"/>
  <c r="L7" i="2"/>
  <c r="L8" i="2"/>
  <c r="L9" i="2"/>
  <c r="L10" i="2"/>
  <c r="L11" i="2"/>
  <c r="L12" i="2"/>
  <c r="L13" i="2"/>
  <c r="L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" i="2"/>
  <c r="AB39" i="2"/>
  <c r="AA39" i="2"/>
  <c r="Z39" i="2"/>
  <c r="H39" i="2"/>
  <c r="F39" i="2"/>
  <c r="W38" i="2"/>
  <c r="W37" i="2"/>
  <c r="V37" i="2"/>
  <c r="S37" i="2"/>
  <c r="O37" i="2"/>
  <c r="W36" i="2"/>
  <c r="V36" i="2"/>
  <c r="O36" i="2"/>
  <c r="S35" i="2"/>
  <c r="R35" i="2"/>
  <c r="O35" i="2"/>
  <c r="Q35" i="2" s="1"/>
  <c r="W34" i="2"/>
  <c r="O34" i="2"/>
  <c r="O33" i="2"/>
  <c r="W33" i="2" s="1"/>
  <c r="Q32" i="2"/>
  <c r="O32" i="2"/>
  <c r="O31" i="2"/>
  <c r="Q31" i="2" s="1"/>
  <c r="S30" i="2"/>
  <c r="O30" i="2"/>
  <c r="W30" i="2" s="1"/>
  <c r="O29" i="2"/>
  <c r="Q29" i="2" s="1"/>
  <c r="S29" i="2"/>
  <c r="M28" i="2"/>
  <c r="S28" i="2" s="1"/>
  <c r="O28" i="2"/>
  <c r="M27" i="2"/>
  <c r="S27" i="2" s="1"/>
  <c r="O27" i="2"/>
  <c r="Q27" i="2" s="1"/>
  <c r="M26" i="2"/>
  <c r="S26" i="2" s="1"/>
  <c r="O26" i="2"/>
  <c r="W26" i="2" s="1"/>
  <c r="O25" i="2"/>
  <c r="M25" i="2"/>
  <c r="S25" i="2" s="1"/>
  <c r="M24" i="2"/>
  <c r="S24" i="2" s="1"/>
  <c r="O24" i="2"/>
  <c r="W24" i="2" s="1"/>
  <c r="M23" i="2"/>
  <c r="S23" i="2" s="1"/>
  <c r="O23" i="2"/>
  <c r="M22" i="2"/>
  <c r="S22" i="2" s="1"/>
  <c r="O22" i="2"/>
  <c r="W22" i="2" s="1"/>
  <c r="M21" i="2"/>
  <c r="S21" i="2" s="1"/>
  <c r="O21" i="2"/>
  <c r="Q21" i="2" s="1"/>
  <c r="M20" i="2"/>
  <c r="S20" i="2" s="1"/>
  <c r="O20" i="2"/>
  <c r="M19" i="2"/>
  <c r="S19" i="2" s="1"/>
  <c r="O19" i="2"/>
  <c r="Q19" i="2" s="1"/>
  <c r="M18" i="2"/>
  <c r="S18" i="2" s="1"/>
  <c r="O18" i="2"/>
  <c r="W18" i="2" s="1"/>
  <c r="M17" i="2"/>
  <c r="S17" i="2" s="1"/>
  <c r="O17" i="2"/>
  <c r="Q17" i="2" s="1"/>
  <c r="M16" i="2"/>
  <c r="S16" i="2" s="1"/>
  <c r="O16" i="2"/>
  <c r="W16" i="2" s="1"/>
  <c r="O15" i="2"/>
  <c r="Q15" i="2" s="1"/>
  <c r="S14" i="2"/>
  <c r="R14" i="2"/>
  <c r="O14" i="2"/>
  <c r="W14" i="2" s="1"/>
  <c r="N13" i="2"/>
  <c r="K13" i="2"/>
  <c r="W12" i="2"/>
  <c r="R12" i="2"/>
  <c r="S12" i="2"/>
  <c r="W11" i="2"/>
  <c r="S11" i="2"/>
  <c r="O11" i="2"/>
  <c r="N10" i="2"/>
  <c r="K10" i="2"/>
  <c r="N9" i="2"/>
  <c r="S9" i="2"/>
  <c r="N8" i="2"/>
  <c r="K8" i="2"/>
  <c r="O7" i="2"/>
  <c r="Q7" i="2" s="1"/>
  <c r="W6" i="2"/>
  <c r="V6" i="2"/>
  <c r="O6" i="2"/>
  <c r="W5" i="2"/>
  <c r="S5" i="2"/>
  <c r="W4" i="2"/>
  <c r="N4" i="2"/>
  <c r="K4" i="2"/>
  <c r="V4" i="2" s="1"/>
  <c r="W3" i="2"/>
  <c r="V3" i="2"/>
  <c r="N3" i="2"/>
  <c r="O3" i="2"/>
  <c r="K3" i="2"/>
  <c r="R39" i="2" l="1"/>
  <c r="M15" i="2"/>
  <c r="S15" i="2" s="1"/>
  <c r="T15" i="2" s="1"/>
  <c r="Y15" i="2" s="1"/>
  <c r="T36" i="2"/>
  <c r="X36" i="2" s="1"/>
  <c r="P33" i="2"/>
  <c r="U33" i="2" s="1"/>
  <c r="V33" i="2" s="1"/>
  <c r="T25" i="2"/>
  <c r="Y25" i="2" s="1"/>
  <c r="T23" i="2"/>
  <c r="Q25" i="2"/>
  <c r="T33" i="2"/>
  <c r="Y33" i="2" s="1"/>
  <c r="T17" i="2"/>
  <c r="Y17" i="2" s="1"/>
  <c r="Q23" i="2"/>
  <c r="T32" i="2"/>
  <c r="Y32" i="2" s="1"/>
  <c r="P3" i="2"/>
  <c r="W7" i="2"/>
  <c r="S8" i="2"/>
  <c r="O8" i="2"/>
  <c r="Q16" i="2"/>
  <c r="T16" i="2"/>
  <c r="P16" i="2"/>
  <c r="U16" i="2" s="1"/>
  <c r="V16" i="2" s="1"/>
  <c r="T19" i="2"/>
  <c r="Q22" i="2"/>
  <c r="T22" i="2"/>
  <c r="P22" i="2"/>
  <c r="U22" i="2" s="1"/>
  <c r="V22" i="2" s="1"/>
  <c r="T27" i="2"/>
  <c r="Q30" i="2"/>
  <c r="T30" i="2"/>
  <c r="P30" i="2"/>
  <c r="U30" i="2" s="1"/>
  <c r="V30" i="2" s="1"/>
  <c r="Y36" i="2"/>
  <c r="S38" i="2"/>
  <c r="O38" i="2"/>
  <c r="Q28" i="2"/>
  <c r="T28" i="2"/>
  <c r="P28" i="2"/>
  <c r="U28" i="2" s="1"/>
  <c r="V28" i="2" s="1"/>
  <c r="G39" i="2"/>
  <c r="S3" i="2"/>
  <c r="T3" i="2" s="1"/>
  <c r="T6" i="2"/>
  <c r="O5" i="2"/>
  <c r="P6" i="2"/>
  <c r="S10" i="2"/>
  <c r="O10" i="2"/>
  <c r="Q11" i="2"/>
  <c r="P11" i="2"/>
  <c r="U11" i="2" s="1"/>
  <c r="V11" i="2" s="1"/>
  <c r="T11" i="2"/>
  <c r="T21" i="2"/>
  <c r="Q24" i="2"/>
  <c r="T24" i="2"/>
  <c r="P24" i="2"/>
  <c r="U24" i="2" s="1"/>
  <c r="V24" i="2" s="1"/>
  <c r="T29" i="2"/>
  <c r="Q34" i="2"/>
  <c r="T34" i="2"/>
  <c r="P34" i="2"/>
  <c r="U34" i="2" s="1"/>
  <c r="V34" i="2" s="1"/>
  <c r="P36" i="2"/>
  <c r="T7" i="2"/>
  <c r="P7" i="2"/>
  <c r="U7" i="2" s="1"/>
  <c r="V7" i="2" s="1"/>
  <c r="Q20" i="2"/>
  <c r="T20" i="2"/>
  <c r="P20" i="2"/>
  <c r="U20" i="2" s="1"/>
  <c r="V20" i="2" s="1"/>
  <c r="Q14" i="2"/>
  <c r="T14" i="2"/>
  <c r="P14" i="2"/>
  <c r="U14" i="2" s="1"/>
  <c r="V14" i="2" s="1"/>
  <c r="Q18" i="2"/>
  <c r="T18" i="2"/>
  <c r="P18" i="2"/>
  <c r="U18" i="2" s="1"/>
  <c r="V18" i="2" s="1"/>
  <c r="W20" i="2"/>
  <c r="Y23" i="2"/>
  <c r="Q26" i="2"/>
  <c r="T26" i="2"/>
  <c r="P26" i="2"/>
  <c r="U26" i="2" s="1"/>
  <c r="V26" i="2" s="1"/>
  <c r="W28" i="2"/>
  <c r="P37" i="2"/>
  <c r="T37" i="2"/>
  <c r="O9" i="2"/>
  <c r="W31" i="2"/>
  <c r="Q33" i="2"/>
  <c r="W35" i="2"/>
  <c r="W15" i="2"/>
  <c r="W17" i="2"/>
  <c r="W19" i="2"/>
  <c r="W21" i="2"/>
  <c r="W23" i="2"/>
  <c r="W25" i="2"/>
  <c r="W27" i="2"/>
  <c r="W29" i="2"/>
  <c r="P31" i="2"/>
  <c r="U31" i="2" s="1"/>
  <c r="V31" i="2" s="1"/>
  <c r="T31" i="2"/>
  <c r="W32" i="2"/>
  <c r="P35" i="2"/>
  <c r="U35" i="2" s="1"/>
  <c r="V35" i="2" s="1"/>
  <c r="T35" i="2"/>
  <c r="O12" i="2"/>
  <c r="P15" i="2"/>
  <c r="U15" i="2" s="1"/>
  <c r="V15" i="2" s="1"/>
  <c r="P17" i="2"/>
  <c r="U17" i="2" s="1"/>
  <c r="V17" i="2" s="1"/>
  <c r="X17" i="2" s="1"/>
  <c r="P19" i="2"/>
  <c r="U19" i="2" s="1"/>
  <c r="V19" i="2" s="1"/>
  <c r="P21" i="2"/>
  <c r="U21" i="2" s="1"/>
  <c r="V21" i="2" s="1"/>
  <c r="P23" i="2"/>
  <c r="U23" i="2" s="1"/>
  <c r="V23" i="2" s="1"/>
  <c r="P25" i="2"/>
  <c r="U25" i="2" s="1"/>
  <c r="V25" i="2" s="1"/>
  <c r="P27" i="2"/>
  <c r="U27" i="2" s="1"/>
  <c r="V27" i="2" s="1"/>
  <c r="P29" i="2"/>
  <c r="U29" i="2" s="1"/>
  <c r="V29" i="2" s="1"/>
  <c r="P32" i="2"/>
  <c r="U32" i="2" s="1"/>
  <c r="V32" i="2" s="1"/>
  <c r="R13" i="1"/>
  <c r="N13" i="1"/>
  <c r="X32" i="2" l="1"/>
  <c r="AC33" i="2"/>
  <c r="X25" i="2"/>
  <c r="AC23" i="2"/>
  <c r="X15" i="2"/>
  <c r="X33" i="2"/>
  <c r="Y3" i="2"/>
  <c r="X3" i="2"/>
  <c r="X27" i="2"/>
  <c r="Y27" i="2"/>
  <c r="AC27" i="2" s="1"/>
  <c r="AC15" i="2"/>
  <c r="Q12" i="2"/>
  <c r="T12" i="2"/>
  <c r="P12" i="2"/>
  <c r="U12" i="2" s="1"/>
  <c r="V12" i="2" s="1"/>
  <c r="Y31" i="2"/>
  <c r="AC31" i="2" s="1"/>
  <c r="X31" i="2"/>
  <c r="Y26" i="2"/>
  <c r="AC26" i="2" s="1"/>
  <c r="X26" i="2"/>
  <c r="X23" i="2"/>
  <c r="Y14" i="2"/>
  <c r="AC14" i="2" s="1"/>
  <c r="X14" i="2"/>
  <c r="AC25" i="2"/>
  <c r="X29" i="2"/>
  <c r="Y29" i="2"/>
  <c r="AC29" i="2" s="1"/>
  <c r="X21" i="2"/>
  <c r="Y21" i="2"/>
  <c r="AC21" i="2" s="1"/>
  <c r="T5" i="2"/>
  <c r="P5" i="2"/>
  <c r="U5" i="2" s="1"/>
  <c r="Q5" i="2"/>
  <c r="P38" i="2"/>
  <c r="T38" i="2"/>
  <c r="X38" i="2" s="1"/>
  <c r="AC38" i="2" s="1"/>
  <c r="Y18" i="2"/>
  <c r="AC18" i="2" s="1"/>
  <c r="X18" i="2"/>
  <c r="Y20" i="2"/>
  <c r="AC20" i="2" s="1"/>
  <c r="X20" i="2"/>
  <c r="X19" i="2"/>
  <c r="Y19" i="2"/>
  <c r="AC19" i="2" s="1"/>
  <c r="Q9" i="2"/>
  <c r="T9" i="2"/>
  <c r="P9" i="2"/>
  <c r="U9" i="2" s="1"/>
  <c r="V9" i="2" s="1"/>
  <c r="W9" i="2"/>
  <c r="AC17" i="2"/>
  <c r="AC32" i="2"/>
  <c r="T10" i="2"/>
  <c r="P10" i="2"/>
  <c r="U10" i="2" s="1"/>
  <c r="V10" i="2" s="1"/>
  <c r="Q10" i="2"/>
  <c r="S4" i="2"/>
  <c r="O4" i="2"/>
  <c r="Y30" i="2"/>
  <c r="AC30" i="2" s="1"/>
  <c r="X30" i="2"/>
  <c r="Y22" i="2"/>
  <c r="AC22" i="2" s="1"/>
  <c r="X22" i="2"/>
  <c r="Y16" i="2"/>
  <c r="AC16" i="2" s="1"/>
  <c r="X16" i="2"/>
  <c r="Q8" i="2"/>
  <c r="T8" i="2"/>
  <c r="W8" i="2"/>
  <c r="P8" i="2"/>
  <c r="U8" i="2" s="1"/>
  <c r="V8" i="2" s="1"/>
  <c r="Y35" i="2"/>
  <c r="AC35" i="2" s="1"/>
  <c r="X35" i="2"/>
  <c r="Y37" i="2"/>
  <c r="X37" i="2"/>
  <c r="S13" i="2"/>
  <c r="S39" i="2" s="1"/>
  <c r="O13" i="2"/>
  <c r="X7" i="2"/>
  <c r="Y7" i="2"/>
  <c r="AC7" i="2" s="1"/>
  <c r="Y34" i="2"/>
  <c r="AC34" i="2" s="1"/>
  <c r="X34" i="2"/>
  <c r="Y24" i="2"/>
  <c r="AC24" i="2" s="1"/>
  <c r="X24" i="2"/>
  <c r="Y11" i="2"/>
  <c r="AC11" i="2" s="1"/>
  <c r="X11" i="2"/>
  <c r="Y6" i="2"/>
  <c r="AC6" i="2" s="1"/>
  <c r="X6" i="2"/>
  <c r="Y28" i="2"/>
  <c r="AC28" i="2" s="1"/>
  <c r="X28" i="2"/>
  <c r="AC36" i="2"/>
  <c r="R8" i="1"/>
  <c r="N8" i="1"/>
  <c r="Y9" i="2" l="1"/>
  <c r="X9" i="2"/>
  <c r="AC9" i="2"/>
  <c r="W13" i="2"/>
  <c r="W39" i="2" s="1"/>
  <c r="P13" i="2"/>
  <c r="U13" i="2" s="1"/>
  <c r="V13" i="2" s="1"/>
  <c r="T13" i="2"/>
  <c r="Q39" i="2"/>
  <c r="P4" i="2"/>
  <c r="P39" i="2" s="1"/>
  <c r="T4" i="2"/>
  <c r="O39" i="2"/>
  <c r="U39" i="2"/>
  <c r="V5" i="2"/>
  <c r="V39" i="2" s="1"/>
  <c r="Y12" i="2"/>
  <c r="AC12" i="2" s="1"/>
  <c r="X12" i="2"/>
  <c r="AC3" i="2"/>
  <c r="AC37" i="2"/>
  <c r="Y8" i="2"/>
  <c r="X8" i="2"/>
  <c r="AC8" i="2"/>
  <c r="X10" i="2"/>
  <c r="Y10" i="2"/>
  <c r="AC10" i="2" s="1"/>
  <c r="Y5" i="2"/>
  <c r="R5" i="1"/>
  <c r="AC5" i="2" l="1"/>
  <c r="X5" i="2"/>
  <c r="Y4" i="2"/>
  <c r="X4" i="2"/>
  <c r="T39" i="2"/>
  <c r="Y13" i="2"/>
  <c r="AC13" i="2" s="1"/>
  <c r="X13" i="2"/>
  <c r="K8" i="1"/>
  <c r="R4" i="1"/>
  <c r="N4" i="1"/>
  <c r="R3" i="1"/>
  <c r="N3" i="1"/>
  <c r="S7" i="1"/>
  <c r="X39" i="2" l="1"/>
  <c r="Y39" i="2"/>
  <c r="AC4" i="2"/>
  <c r="AC39" i="2" s="1"/>
  <c r="M4" i="1"/>
  <c r="M5" i="1"/>
  <c r="M6" i="1"/>
  <c r="M7" i="1"/>
  <c r="M8" i="1"/>
  <c r="M9" i="1"/>
  <c r="M10" i="1"/>
  <c r="M11" i="1"/>
  <c r="M12" i="1"/>
  <c r="M13" i="1"/>
  <c r="M3" i="1"/>
  <c r="L37" i="1"/>
  <c r="L38" i="1"/>
  <c r="L36" i="1"/>
  <c r="L4" i="1"/>
  <c r="L5" i="1"/>
  <c r="L6" i="1"/>
  <c r="L7" i="1"/>
  <c r="L8" i="1"/>
  <c r="L9" i="1"/>
  <c r="L10" i="1"/>
  <c r="L11" i="1"/>
  <c r="L12" i="1"/>
  <c r="L13" i="1"/>
  <c r="L3" i="1"/>
  <c r="R10" i="1"/>
  <c r="R9" i="1"/>
  <c r="R7" i="1"/>
  <c r="R6" i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" i="1"/>
  <c r="AB39" i="1"/>
  <c r="AA39" i="1"/>
  <c r="Z39" i="1"/>
  <c r="H39" i="1"/>
  <c r="F39" i="1"/>
  <c r="W38" i="1"/>
  <c r="S38" i="1"/>
  <c r="O38" i="1"/>
  <c r="T38" i="1" s="1"/>
  <c r="W37" i="1"/>
  <c r="V37" i="1"/>
  <c r="S37" i="1"/>
  <c r="W36" i="1"/>
  <c r="V36" i="1"/>
  <c r="S36" i="1"/>
  <c r="W35" i="1"/>
  <c r="S35" i="1"/>
  <c r="R35" i="1"/>
  <c r="O35" i="1"/>
  <c r="Q35" i="1" s="1"/>
  <c r="S34" i="1"/>
  <c r="R34" i="1"/>
  <c r="O34" i="1"/>
  <c r="W34" i="1" s="1"/>
  <c r="S33" i="1"/>
  <c r="R33" i="1"/>
  <c r="O33" i="1"/>
  <c r="W33" i="1" s="1"/>
  <c r="S32" i="1"/>
  <c r="R32" i="1"/>
  <c r="O32" i="1"/>
  <c r="Q32" i="1" s="1"/>
  <c r="S31" i="1"/>
  <c r="R31" i="1"/>
  <c r="O31" i="1"/>
  <c r="Q31" i="1" s="1"/>
  <c r="R30" i="1"/>
  <c r="M30" i="1" s="1"/>
  <c r="S30" i="1" s="1"/>
  <c r="Q30" i="1"/>
  <c r="O30" i="1"/>
  <c r="W30" i="1" s="1"/>
  <c r="R29" i="1"/>
  <c r="M29" i="1" s="1"/>
  <c r="S29" i="1" s="1"/>
  <c r="O29" i="1"/>
  <c r="R28" i="1"/>
  <c r="M28" i="1" s="1"/>
  <c r="S28" i="1" s="1"/>
  <c r="O28" i="1"/>
  <c r="W28" i="1" s="1"/>
  <c r="R27" i="1"/>
  <c r="M27" i="1" s="1"/>
  <c r="S27" i="1" s="1"/>
  <c r="O27" i="1"/>
  <c r="Q27" i="1" s="1"/>
  <c r="R26" i="1"/>
  <c r="M26" i="1" s="1"/>
  <c r="S26" i="1" s="1"/>
  <c r="O26" i="1"/>
  <c r="W26" i="1" s="1"/>
  <c r="R25" i="1"/>
  <c r="M25" i="1" s="1"/>
  <c r="S25" i="1" s="1"/>
  <c r="P25" i="1"/>
  <c r="U25" i="1" s="1"/>
  <c r="V25" i="1" s="1"/>
  <c r="O25" i="1"/>
  <c r="Q25" i="1" s="1"/>
  <c r="R24" i="1"/>
  <c r="Q24" i="1"/>
  <c r="P24" i="1"/>
  <c r="U24" i="1" s="1"/>
  <c r="V24" i="1" s="1"/>
  <c r="O24" i="1"/>
  <c r="W24" i="1" s="1"/>
  <c r="M24" i="1"/>
  <c r="S24" i="1" s="1"/>
  <c r="R23" i="1"/>
  <c r="M23" i="1" s="1"/>
  <c r="S23" i="1" s="1"/>
  <c r="P23" i="1"/>
  <c r="U23" i="1" s="1"/>
  <c r="V23" i="1" s="1"/>
  <c r="O23" i="1"/>
  <c r="Q23" i="1" s="1"/>
  <c r="R22" i="1"/>
  <c r="O22" i="1"/>
  <c r="W22" i="1" s="1"/>
  <c r="M22" i="1"/>
  <c r="S22" i="1" s="1"/>
  <c r="R21" i="1"/>
  <c r="M21" i="1" s="1"/>
  <c r="S21" i="1" s="1"/>
  <c r="O21" i="1"/>
  <c r="R20" i="1"/>
  <c r="M20" i="1" s="1"/>
  <c r="S20" i="1" s="1"/>
  <c r="O20" i="1"/>
  <c r="W20" i="1" s="1"/>
  <c r="R19" i="1"/>
  <c r="M19" i="1" s="1"/>
  <c r="S19" i="1" s="1"/>
  <c r="O19" i="1"/>
  <c r="Q19" i="1" s="1"/>
  <c r="R18" i="1"/>
  <c r="Q18" i="1"/>
  <c r="O18" i="1"/>
  <c r="W18" i="1" s="1"/>
  <c r="R17" i="1"/>
  <c r="M17" i="1" s="1"/>
  <c r="S17" i="1" s="1"/>
  <c r="O17" i="1"/>
  <c r="Q17" i="1" s="1"/>
  <c r="R16" i="1"/>
  <c r="O16" i="1"/>
  <c r="W16" i="1" s="1"/>
  <c r="M16" i="1"/>
  <c r="S16" i="1" s="1"/>
  <c r="W15" i="1"/>
  <c r="R15" i="1"/>
  <c r="M15" i="1" s="1"/>
  <c r="S15" i="1" s="1"/>
  <c r="O15" i="1"/>
  <c r="Q15" i="1" s="1"/>
  <c r="S14" i="1"/>
  <c r="R14" i="1"/>
  <c r="O14" i="1"/>
  <c r="W14" i="1" s="1"/>
  <c r="K13" i="1"/>
  <c r="W12" i="1"/>
  <c r="R12" i="1"/>
  <c r="O11" i="1"/>
  <c r="P11" i="1" s="1"/>
  <c r="U11" i="1" s="1"/>
  <c r="V11" i="1" s="1"/>
  <c r="N10" i="1"/>
  <c r="K10" i="1"/>
  <c r="O9" i="1"/>
  <c r="Q9" i="1" s="1"/>
  <c r="N9" i="1"/>
  <c r="S9" i="1" s="1"/>
  <c r="O8" i="1"/>
  <c r="W8" i="1" s="1"/>
  <c r="S8" i="1"/>
  <c r="O7" i="1"/>
  <c r="Q7" i="1" s="1"/>
  <c r="W6" i="1"/>
  <c r="V6" i="1"/>
  <c r="O6" i="1"/>
  <c r="S6" i="1"/>
  <c r="W5" i="1"/>
  <c r="O5" i="1"/>
  <c r="W4" i="1"/>
  <c r="K4" i="1"/>
  <c r="W3" i="1"/>
  <c r="V3" i="1"/>
  <c r="K3" i="1"/>
  <c r="O3" i="1" s="1"/>
  <c r="P5" i="1" l="1"/>
  <c r="U5" i="1" s="1"/>
  <c r="Q5" i="1"/>
  <c r="W9" i="1"/>
  <c r="W17" i="1"/>
  <c r="P16" i="1"/>
  <c r="U16" i="1" s="1"/>
  <c r="V16" i="1" s="1"/>
  <c r="T21" i="1"/>
  <c r="P14" i="1"/>
  <c r="U14" i="1" s="1"/>
  <c r="V14" i="1" s="1"/>
  <c r="P19" i="1"/>
  <c r="U19" i="1" s="1"/>
  <c r="V19" i="1" s="1"/>
  <c r="P28" i="1"/>
  <c r="U28" i="1" s="1"/>
  <c r="V28" i="1" s="1"/>
  <c r="Q33" i="1"/>
  <c r="P34" i="1"/>
  <c r="U34" i="1" s="1"/>
  <c r="V34" i="1" s="1"/>
  <c r="Q14" i="1"/>
  <c r="P30" i="1"/>
  <c r="U30" i="1" s="1"/>
  <c r="V30" i="1" s="1"/>
  <c r="Q34" i="1"/>
  <c r="X38" i="1"/>
  <c r="AC38" i="1" s="1"/>
  <c r="Q11" i="1"/>
  <c r="T31" i="1"/>
  <c r="Y31" i="1" s="1"/>
  <c r="T14" i="1"/>
  <c r="Y14" i="1" s="1"/>
  <c r="AC14" i="1" s="1"/>
  <c r="W11" i="1"/>
  <c r="T16" i="1"/>
  <c r="X16" i="1" s="1"/>
  <c r="T22" i="1"/>
  <c r="Y22" i="1" s="1"/>
  <c r="T28" i="1"/>
  <c r="Y28" i="1" s="1"/>
  <c r="AC28" i="1" s="1"/>
  <c r="W31" i="1"/>
  <c r="T20" i="1"/>
  <c r="Y20" i="1" s="1"/>
  <c r="T24" i="1"/>
  <c r="P7" i="1"/>
  <c r="U7" i="1" s="1"/>
  <c r="V7" i="1" s="1"/>
  <c r="Q16" i="1"/>
  <c r="P20" i="1"/>
  <c r="U20" i="1" s="1"/>
  <c r="V20" i="1" s="1"/>
  <c r="P22" i="1"/>
  <c r="U22" i="1" s="1"/>
  <c r="V22" i="1" s="1"/>
  <c r="W25" i="1"/>
  <c r="P26" i="1"/>
  <c r="U26" i="1" s="1"/>
  <c r="V26" i="1" s="1"/>
  <c r="Q28" i="1"/>
  <c r="T30" i="1"/>
  <c r="Y30" i="1" s="1"/>
  <c r="AC30" i="1" s="1"/>
  <c r="P15" i="1"/>
  <c r="U15" i="1" s="1"/>
  <c r="V15" i="1" s="1"/>
  <c r="P18" i="1"/>
  <c r="U18" i="1" s="1"/>
  <c r="V18" i="1" s="1"/>
  <c r="Q20" i="1"/>
  <c r="Q22" i="1"/>
  <c r="W23" i="1"/>
  <c r="Q26" i="1"/>
  <c r="T34" i="1"/>
  <c r="S3" i="1"/>
  <c r="P6" i="1"/>
  <c r="T6" i="1"/>
  <c r="V4" i="1"/>
  <c r="T8" i="1"/>
  <c r="P8" i="1"/>
  <c r="U8" i="1" s="1"/>
  <c r="V8" i="1" s="1"/>
  <c r="Q8" i="1"/>
  <c r="X30" i="1"/>
  <c r="M18" i="1"/>
  <c r="S18" i="1" s="1"/>
  <c r="T18" i="1" s="1"/>
  <c r="Y21" i="1"/>
  <c r="Q29" i="1"/>
  <c r="W29" i="1"/>
  <c r="P29" i="1"/>
  <c r="U29" i="1" s="1"/>
  <c r="V29" i="1" s="1"/>
  <c r="P3" i="1"/>
  <c r="G39" i="1"/>
  <c r="R39" i="1"/>
  <c r="V5" i="1"/>
  <c r="S10" i="1"/>
  <c r="O10" i="1"/>
  <c r="S11" i="1"/>
  <c r="T11" i="1" s="1"/>
  <c r="S12" i="1"/>
  <c r="O12" i="1"/>
  <c r="Q21" i="1"/>
  <c r="W21" i="1"/>
  <c r="P21" i="1"/>
  <c r="U21" i="1" s="1"/>
  <c r="V21" i="1" s="1"/>
  <c r="Y24" i="1"/>
  <c r="AC24" i="1" s="1"/>
  <c r="X24" i="1"/>
  <c r="T26" i="1"/>
  <c r="T29" i="1"/>
  <c r="Y34" i="1"/>
  <c r="S5" i="1"/>
  <c r="T5" i="1" s="1"/>
  <c r="T7" i="1"/>
  <c r="T19" i="1"/>
  <c r="T27" i="1"/>
  <c r="T32" i="1"/>
  <c r="O36" i="1"/>
  <c r="P38" i="1"/>
  <c r="T25" i="1"/>
  <c r="P27" i="1"/>
  <c r="U27" i="1" s="1"/>
  <c r="V27" i="1" s="1"/>
  <c r="P32" i="1"/>
  <c r="U32" i="1" s="1"/>
  <c r="V32" i="1" s="1"/>
  <c r="P35" i="1"/>
  <c r="U35" i="1" s="1"/>
  <c r="V35" i="1" s="1"/>
  <c r="T35" i="1"/>
  <c r="T17" i="1"/>
  <c r="W7" i="1"/>
  <c r="T9" i="1"/>
  <c r="P9" i="1"/>
  <c r="U9" i="1" s="1"/>
  <c r="V9" i="1" s="1"/>
  <c r="T15" i="1"/>
  <c r="P17" i="1"/>
  <c r="U17" i="1" s="1"/>
  <c r="V17" i="1" s="1"/>
  <c r="W19" i="1"/>
  <c r="T23" i="1"/>
  <c r="W27" i="1"/>
  <c r="P31" i="1"/>
  <c r="U31" i="1" s="1"/>
  <c r="V31" i="1" s="1"/>
  <c r="W32" i="1"/>
  <c r="T33" i="1"/>
  <c r="P33" i="1"/>
  <c r="U33" i="1" s="1"/>
  <c r="V33" i="1" s="1"/>
  <c r="O37" i="1"/>
  <c r="X22" i="1" l="1"/>
  <c r="X31" i="1"/>
  <c r="AC34" i="1"/>
  <c r="AC31" i="1"/>
  <c r="AC22" i="1"/>
  <c r="X21" i="1"/>
  <c r="X34" i="1"/>
  <c r="X14" i="1"/>
  <c r="Y16" i="1"/>
  <c r="AC16" i="1" s="1"/>
  <c r="AC20" i="1"/>
  <c r="X20" i="1"/>
  <c r="X28" i="1"/>
  <c r="Y18" i="1"/>
  <c r="AC18" i="1" s="1"/>
  <c r="X18" i="1"/>
  <c r="X33" i="1"/>
  <c r="Y33" i="1"/>
  <c r="AC33" i="1" s="1"/>
  <c r="Y23" i="1"/>
  <c r="AC23" i="1" s="1"/>
  <c r="X23" i="1"/>
  <c r="Y17" i="1"/>
  <c r="AC17" i="1" s="1"/>
  <c r="X17" i="1"/>
  <c r="P36" i="1"/>
  <c r="T36" i="1"/>
  <c r="X9" i="1"/>
  <c r="Y9" i="1"/>
  <c r="AC9" i="1" s="1"/>
  <c r="Y32" i="1"/>
  <c r="AC32" i="1" s="1"/>
  <c r="X32" i="1"/>
  <c r="Y7" i="1"/>
  <c r="AC7" i="1" s="1"/>
  <c r="X7" i="1"/>
  <c r="W10" i="1"/>
  <c r="P10" i="1"/>
  <c r="U10" i="1" s="1"/>
  <c r="V10" i="1" s="1"/>
  <c r="T10" i="1"/>
  <c r="Q10" i="1"/>
  <c r="S4" i="1"/>
  <c r="O4" i="1"/>
  <c r="T37" i="1"/>
  <c r="P37" i="1"/>
  <c r="Y35" i="1"/>
  <c r="AC35" i="1" s="1"/>
  <c r="X35" i="1"/>
  <c r="Y25" i="1"/>
  <c r="AC25" i="1" s="1"/>
  <c r="X25" i="1"/>
  <c r="Y27" i="1"/>
  <c r="AC27" i="1" s="1"/>
  <c r="X27" i="1"/>
  <c r="Y5" i="1"/>
  <c r="AC5" i="1" s="1"/>
  <c r="X5" i="1"/>
  <c r="Y29" i="1"/>
  <c r="AC29" i="1" s="1"/>
  <c r="X29" i="1"/>
  <c r="P12" i="1"/>
  <c r="U12" i="1" s="1"/>
  <c r="V12" i="1" s="1"/>
  <c r="T12" i="1"/>
  <c r="Q12" i="1"/>
  <c r="O13" i="1"/>
  <c r="S13" i="1"/>
  <c r="AC21" i="1"/>
  <c r="Y11" i="1"/>
  <c r="AC11" i="1" s="1"/>
  <c r="X11" i="1"/>
  <c r="Y15" i="1"/>
  <c r="AC15" i="1" s="1"/>
  <c r="X15" i="1"/>
  <c r="Y19" i="1"/>
  <c r="AC19" i="1" s="1"/>
  <c r="X19" i="1"/>
  <c r="Y26" i="1"/>
  <c r="AC26" i="1" s="1"/>
  <c r="X26" i="1"/>
  <c r="X8" i="1"/>
  <c r="Y8" i="1"/>
  <c r="AC8" i="1" s="1"/>
  <c r="X6" i="1"/>
  <c r="Y6" i="1"/>
  <c r="AC6" i="1" s="1"/>
  <c r="T3" i="1"/>
  <c r="S39" i="1" l="1"/>
  <c r="Q39" i="1"/>
  <c r="Y3" i="1"/>
  <c r="X3" i="1"/>
  <c r="Y12" i="1"/>
  <c r="AC12" i="1" s="1"/>
  <c r="X12" i="1"/>
  <c r="P4" i="1"/>
  <c r="T4" i="1"/>
  <c r="O39" i="1"/>
  <c r="X10" i="1"/>
  <c r="Y10" i="1"/>
  <c r="AC10" i="1" s="1"/>
  <c r="Y36" i="1"/>
  <c r="X36" i="1"/>
  <c r="T13" i="1"/>
  <c r="W13" i="1"/>
  <c r="W39" i="1" s="1"/>
  <c r="P13" i="1"/>
  <c r="U13" i="1" s="1"/>
  <c r="X37" i="1"/>
  <c r="Y37" i="1"/>
  <c r="AC37" i="1" l="1"/>
  <c r="AC36" i="1"/>
  <c r="V13" i="1"/>
  <c r="V39" i="1" s="1"/>
  <c r="U39" i="1"/>
  <c r="X4" i="1"/>
  <c r="Y4" i="1"/>
  <c r="AC4" i="1" s="1"/>
  <c r="T39" i="1"/>
  <c r="Y13" i="1"/>
  <c r="AC3" i="1"/>
  <c r="AC13" i="1" l="1"/>
  <c r="Y39" i="1"/>
  <c r="X13" i="1"/>
  <c r="X39" i="1" s="1"/>
</calcChain>
</file>

<file path=xl/sharedStrings.xml><?xml version="1.0" encoding="utf-8"?>
<sst xmlns="http://schemas.openxmlformats.org/spreadsheetml/2006/main" count="392" uniqueCount="79">
  <si>
    <t>SL
NO.</t>
  </si>
  <si>
    <t>NAME OF EMPLOYEE</t>
  </si>
  <si>
    <t>UAN</t>
  </si>
  <si>
    <t>ESIC NO.</t>
  </si>
  <si>
    <t>CATEGORY</t>
  </si>
  <si>
    <t xml:space="preserve">
ATTEN
 DAYS</t>
  </si>
  <si>
    <t>ABSENT</t>
  </si>
  <si>
    <t>Extra Work</t>
  </si>
  <si>
    <t>GRADE</t>
  </si>
  <si>
    <t>Total Salary P.M</t>
  </si>
  <si>
    <t>Salary P.M</t>
  </si>
  <si>
    <t>SALARY PER DAY</t>
  </si>
  <si>
    <t>Increase in Salary</t>
  </si>
  <si>
    <t>Increase in Salary in amount</t>
  </si>
  <si>
    <t>Salary</t>
  </si>
  <si>
    <t>BASIC SALARY</t>
  </si>
  <si>
    <t>HRA</t>
  </si>
  <si>
    <t>CONVEYANCE ALLOWENCE</t>
  </si>
  <si>
    <t>Performance Bonus</t>
  </si>
  <si>
    <t>TOTAL SALARY</t>
  </si>
  <si>
    <t>PF VALUE</t>
  </si>
  <si>
    <t>PF
DEDUCT</t>
  </si>
  <si>
    <t>ESIC</t>
  </si>
  <si>
    <t>Salary before P.Tax</t>
  </si>
  <si>
    <t>P TAX
DEDUCT</t>
  </si>
  <si>
    <t>ADVANCE</t>
  </si>
  <si>
    <t>Deduction From Emplyee</t>
  </si>
  <si>
    <t>TDS</t>
  </si>
  <si>
    <t>NET 
PAYABLE</t>
  </si>
  <si>
    <t>Bikash Barik</t>
  </si>
  <si>
    <t>Goutam Patra</t>
  </si>
  <si>
    <t>Biswasundar Bhoi</t>
  </si>
  <si>
    <t>Hemanta Bauri</t>
  </si>
  <si>
    <t>SKILLED</t>
  </si>
  <si>
    <t>Biswajit Mondal</t>
  </si>
  <si>
    <t>SURAJ KOLEY</t>
  </si>
  <si>
    <t>Chiranjit Halder</t>
  </si>
  <si>
    <t>Anjali Augustine</t>
  </si>
  <si>
    <t>Arun Kumar Singh</t>
  </si>
  <si>
    <t>Piku Mondal</t>
  </si>
  <si>
    <t>Champa Patra</t>
  </si>
  <si>
    <t>Somnath Parui(Security)</t>
  </si>
  <si>
    <t>UN SKILLED</t>
  </si>
  <si>
    <t>AYODHYA KR. DEY</t>
  </si>
  <si>
    <t>A</t>
  </si>
  <si>
    <t>Debnath Pal</t>
  </si>
  <si>
    <t>B</t>
  </si>
  <si>
    <t>KARTIK DAS</t>
  </si>
  <si>
    <t>Mihir Barik</t>
  </si>
  <si>
    <t>RAJKUMAR MAJHI</t>
  </si>
  <si>
    <t>UNSKILLED</t>
  </si>
  <si>
    <t>Sailen Jar</t>
  </si>
  <si>
    <t>Tapas Chandra Paul</t>
  </si>
  <si>
    <t>SAYAN GHOSH</t>
  </si>
  <si>
    <t>SAMIR PAL</t>
  </si>
  <si>
    <t>SADHAN PATRA</t>
  </si>
  <si>
    <t>HIMANSHU KARAK</t>
  </si>
  <si>
    <t>CHINMOY BHUIYA</t>
  </si>
  <si>
    <t>Surya Patra</t>
  </si>
  <si>
    <t>Asim Ghosh</t>
  </si>
  <si>
    <t xml:space="preserve">Laltu Malik </t>
  </si>
  <si>
    <t>Sukhen De</t>
  </si>
  <si>
    <t>Rana Malik</t>
  </si>
  <si>
    <t>Raja Barik</t>
  </si>
  <si>
    <t>Archana Maity</t>
  </si>
  <si>
    <t>Joydeep Ghosh</t>
  </si>
  <si>
    <t>Gopal Ghosh</t>
  </si>
  <si>
    <t>RAJESH KUMAR</t>
  </si>
  <si>
    <t>KRISH AGARWAL</t>
  </si>
  <si>
    <t>NAWNEET SODHANI</t>
  </si>
  <si>
    <t xml:space="preserve"> </t>
  </si>
  <si>
    <t xml:space="preserve">PAYROLL SHEET FOR THE MONTH OF APRIL 2026 APTUS </t>
  </si>
  <si>
    <t xml:space="preserve">PAYROLL SHEET FOR THE MONTH OF MAY 2026 APTUS </t>
  </si>
  <si>
    <t xml:space="preserve">PAYROLL SHEET FOR THE MONTH OF JUNE 2026 APTUS </t>
  </si>
  <si>
    <t>PIYUSH SODHANI</t>
  </si>
  <si>
    <t>Biswasundar ESI manually</t>
  </si>
  <si>
    <t>Piku ESI manually</t>
  </si>
  <si>
    <t>Days in the month</t>
  </si>
  <si>
    <t xml:space="preserve">PAYROLL SHEET FOR THE MONTH OF JULY 2026 APTUS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</si>
</sst>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3"/>
      <color theme="1"/>
      <name val="Bookman Old Style"/>
      <family val="1"/>
    </font>
    <font>
      <sz val="11"/>
      <name val="Calibri"/>
      <family val="2"/>
    </font>
    <font>
      <b/>
      <sz val="10"/>
      <color theme="1"/>
      <name val="Bookman Old Style"/>
      <family val="1"/>
    </font>
    <font>
      <b/>
      <sz val="9"/>
      <color theme="1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2"/>
      <color rgb="FF0C0C0C"/>
      <name val="Calibri"/>
      <family val="2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/>
    <xf numFmtId="0" fontId="7" fillId="0" borderId="4" xfId="0" applyFont="1" applyFill="1" applyBorder="1"/>
    <xf numFmtId="1" fontId="6" fillId="0" borderId="4" xfId="0" applyNumberFormat="1" applyFont="1" applyFill="1" applyBorder="1"/>
    <xf numFmtId="1" fontId="6" fillId="0" borderId="4" xfId="0" applyNumberFormat="1" applyFont="1" applyFill="1" applyBorder="1" applyAlignment="1">
      <alignment wrapText="1"/>
    </xf>
    <xf numFmtId="3" fontId="6" fillId="0" borderId="4" xfId="0" applyNumberFormat="1" applyFont="1" applyFill="1" applyBorder="1"/>
    <xf numFmtId="0" fontId="8" fillId="0" borderId="4" xfId="0" applyFont="1" applyFill="1" applyBorder="1"/>
    <xf numFmtId="0" fontId="9" fillId="0" borderId="4" xfId="0" applyFont="1" applyFill="1" applyBorder="1" applyAlignment="1">
      <alignment horizontal="center"/>
    </xf>
    <xf numFmtId="1" fontId="6" fillId="0" borderId="4" xfId="0" applyNumberFormat="1" applyFont="1" applyFill="1" applyBorder="1" applyAlignment="1">
      <alignment horizontal="center"/>
    </xf>
    <xf numFmtId="0" fontId="7" fillId="0" borderId="6" xfId="0" applyFont="1" applyFill="1" applyBorder="1"/>
    <xf numFmtId="0" fontId="6" fillId="0" borderId="6" xfId="0" applyFont="1" applyFill="1" applyBorder="1"/>
    <xf numFmtId="0" fontId="9" fillId="0" borderId="6" xfId="0" applyFont="1" applyFill="1" applyBorder="1" applyAlignment="1">
      <alignment horizontal="center"/>
    </xf>
    <xf numFmtId="1" fontId="6" fillId="0" borderId="6" xfId="0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" fontId="11" fillId="0" borderId="4" xfId="0" applyNumberFormat="1" applyFont="1" applyFill="1" applyBorder="1"/>
    <xf numFmtId="0" fontId="12" fillId="0" borderId="5" xfId="0" applyFont="1" applyFill="1" applyBorder="1"/>
    <xf numFmtId="43" fontId="6" fillId="0" borderId="4" xfId="1" applyFont="1" applyFill="1" applyBorder="1"/>
    <xf numFmtId="0" fontId="6" fillId="0" borderId="1" xfId="0" applyFont="1" applyFill="1" applyBorder="1" applyAlignment="1">
      <alignment horizontal="center"/>
    </xf>
    <xf numFmtId="0" fontId="6" fillId="0" borderId="3" xfId="0" applyFont="1" applyFill="1" applyBorder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1" fontId="4" fillId="0" borderId="4" xfId="0" applyNumberFormat="1" applyFont="1" applyFill="1" applyBorder="1"/>
    <xf numFmtId="2" fontId="4" fillId="0" borderId="4" xfId="0" applyNumberFormat="1" applyFont="1" applyFill="1" applyBorder="1"/>
    <xf numFmtId="3" fontId="4" fillId="0" borderId="4" xfId="0" applyNumberFormat="1" applyFont="1" applyFill="1" applyBorder="1"/>
    <xf numFmtId="0" fontId="13" fillId="0" borderId="0" xfId="0" applyFont="1" applyFill="1"/>
    <xf numFmtId="1" fontId="13" fillId="0" borderId="0" xfId="0" applyNumberFormat="1" applyFont="1" applyFill="1"/>
    <xf numFmtId="3" fontId="13" fillId="0" borderId="0" xfId="0" applyNumberFormat="1" applyFont="1" applyFill="1"/>
    <xf numFmtId="3" fontId="6" fillId="0" borderId="4" xfId="0" applyNumberFormat="1" applyFont="1" applyFill="1" applyBorder="1" applyAlignment="1">
      <alignment horizontal="center"/>
    </xf>
    <xf numFmtId="165" fontId="6" fillId="0" borderId="4" xfId="1" applyNumberFormat="1" applyFont="1" applyFill="1" applyBorder="1" applyAlignment="1">
      <alignment horizontal="center"/>
    </xf>
    <xf numFmtId="0" fontId="0" fillId="0" borderId="0" xfId="0" applyFill="1"/>
    <xf numFmtId="0" fontId="6" fillId="2" borderId="1" xfId="0" applyFont="1" applyFill="1" applyBorder="1" applyAlignment="1">
      <alignment horizontal="center"/>
    </xf>
    <xf numFmtId="0" fontId="12" fillId="2" borderId="5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" fontId="11" fillId="2" borderId="4" xfId="0" applyNumberFormat="1" applyFont="1" applyFill="1" applyBorder="1"/>
    <xf numFmtId="1" fontId="6" fillId="2" borderId="4" xfId="0" applyNumberFormat="1" applyFont="1" applyFill="1" applyBorder="1"/>
    <xf numFmtId="1" fontId="6" fillId="2" borderId="4" xfId="0" applyNumberFormat="1" applyFont="1" applyFill="1" applyBorder="1" applyAlignment="1">
      <alignment wrapText="1"/>
    </xf>
    <xf numFmtId="3" fontId="6" fillId="2" borderId="4" xfId="0" applyNumberFormat="1" applyFont="1" applyFill="1" applyBorder="1"/>
    <xf numFmtId="0" fontId="0" fillId="2" borderId="0" xfId="0" applyFill="1"/>
    <xf numFmtId="164" fontId="4" fillId="0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/>
    <xf numFmtId="1" fontId="6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/>
    <xf numFmtId="0" fontId="9" fillId="3" borderId="4" xfId="0" applyFont="1" applyFill="1" applyBorder="1" applyAlignment="1">
      <alignment horizontal="center"/>
    </xf>
    <xf numFmtId="1" fontId="6" fillId="3" borderId="4" xfId="0" applyNumberFormat="1" applyFont="1" applyFill="1" applyBorder="1"/>
    <xf numFmtId="1" fontId="6" fillId="3" borderId="4" xfId="0" applyNumberFormat="1" applyFont="1" applyFill="1" applyBorder="1" applyAlignment="1">
      <alignment wrapText="1"/>
    </xf>
    <xf numFmtId="3" fontId="6" fillId="3" borderId="4" xfId="0" applyNumberFormat="1" applyFont="1" applyFill="1" applyBorder="1"/>
    <xf numFmtId="1" fontId="6" fillId="3" borderId="4" xfId="0" applyNumberFormat="1" applyFont="1" applyFill="1" applyBorder="1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7" fillId="0" borderId="7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0"/>
  <sheetViews>
    <sheetView zoomScale="96" zoomScaleNormal="96" workbookViewId="0">
      <pane xSplit="5" ySplit="2" topLeftCell="M21" activePane="bottomRight" state="frozen"/>
      <selection pane="topRight" activeCell="F1" sqref="F1"/>
      <selection pane="bottomLeft" activeCell="A3" sqref="A3"/>
      <selection pane="bottomRight" activeCell="AE31" sqref="AE31:AE32"/>
    </sheetView>
  </sheetViews>
  <sheetFormatPr defaultRowHeight="15" x14ac:dyDescent="0.25"/>
  <cols>
    <col min="1" max="1" width="6.140625" customWidth="1"/>
    <col min="2" max="2" width="24" customWidth="1"/>
    <col min="3" max="5" width="0" hidden="1" customWidth="1"/>
    <col min="6" max="6" width="8.140625" customWidth="1"/>
    <col min="8" max="8" width="7.140625" customWidth="1"/>
    <col min="9" max="9" width="0" hidden="1" customWidth="1"/>
    <col min="15" max="15" width="10" bestFit="1" customWidth="1"/>
    <col min="16" max="16" width="10.5703125" customWidth="1"/>
    <col min="17" max="17" width="10" bestFit="1" customWidth="1"/>
    <col min="20" max="20" width="10.5703125" customWidth="1"/>
    <col min="21" max="21" width="11.140625" bestFit="1" customWidth="1"/>
    <col min="24" max="24" width="11.5703125" customWidth="1"/>
    <col min="27" max="27" width="0" hidden="1" customWidth="1"/>
    <col min="29" max="29" width="10.140625" customWidth="1"/>
  </cols>
  <sheetData>
    <row r="1" spans="1:31" x14ac:dyDescent="0.25">
      <c r="A1" s="62" t="s">
        <v>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</row>
    <row r="2" spans="1:31" ht="76.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4" t="s">
        <v>18</v>
      </c>
      <c r="T2" s="6" t="s">
        <v>19</v>
      </c>
      <c r="U2" s="3" t="s">
        <v>20</v>
      </c>
      <c r="V2" s="1" t="s">
        <v>21</v>
      </c>
      <c r="W2" s="4" t="s">
        <v>22</v>
      </c>
      <c r="X2" s="4" t="s">
        <v>23</v>
      </c>
      <c r="Y2" s="7" t="s">
        <v>24</v>
      </c>
      <c r="Z2" s="6" t="s">
        <v>25</v>
      </c>
      <c r="AA2" s="6" t="s">
        <v>26</v>
      </c>
      <c r="AB2" s="6" t="s">
        <v>27</v>
      </c>
      <c r="AC2" s="50" t="s">
        <v>28</v>
      </c>
    </row>
    <row r="3" spans="1:31" ht="15.75" x14ac:dyDescent="0.3">
      <c r="A3" s="8">
        <v>1</v>
      </c>
      <c r="B3" s="9" t="s">
        <v>29</v>
      </c>
      <c r="C3" s="10"/>
      <c r="D3" s="10"/>
      <c r="E3" s="9"/>
      <c r="F3" s="9">
        <v>29</v>
      </c>
      <c r="G3" s="9">
        <f>30-F3</f>
        <v>1</v>
      </c>
      <c r="H3" s="9"/>
      <c r="I3" s="9"/>
      <c r="J3" s="8">
        <v>34000</v>
      </c>
      <c r="K3" s="11">
        <f>25000+5000</f>
        <v>30000</v>
      </c>
      <c r="L3" s="11">
        <f>+K3/30</f>
        <v>1000</v>
      </c>
      <c r="M3" s="11">
        <f>N3/30</f>
        <v>133.33333333333334</v>
      </c>
      <c r="N3" s="11">
        <f>2000+2000</f>
        <v>4000</v>
      </c>
      <c r="O3" s="11">
        <f>L3*F3</f>
        <v>29000</v>
      </c>
      <c r="P3" s="11">
        <f t="shared" ref="P3" si="0">O3*1</f>
        <v>29000</v>
      </c>
      <c r="Q3" s="11">
        <v>0</v>
      </c>
      <c r="R3" s="11">
        <f>(2000+2000)/30*F3</f>
        <v>3866.666666666667</v>
      </c>
      <c r="S3" s="11">
        <f t="shared" ref="S3:S9" si="1">(L3+M3)*H3</f>
        <v>0</v>
      </c>
      <c r="T3" s="11">
        <f t="shared" ref="T3:T38" si="2">O3+((R3)+S3)</f>
        <v>32866.666666666664</v>
      </c>
      <c r="U3" s="11">
        <v>0</v>
      </c>
      <c r="V3" s="12">
        <f>IF(K3&lt;=15000,ROUND(U3*12%,0),0)</f>
        <v>0</v>
      </c>
      <c r="W3" s="12">
        <f t="shared" ref="W3:W38" si="3">IF(J3&lt;=21000,ROUNDUP(O3*0.75%,0),0)</f>
        <v>0</v>
      </c>
      <c r="X3" s="11">
        <f t="shared" ref="X3:X38" si="4">T3-V3-W3</f>
        <v>32866.666666666664</v>
      </c>
      <c r="Y3" s="13">
        <f t="shared" ref="Y3:Y37" si="5">IF(T3&gt;40000,200,IF(T3&gt;25000,150,IF(T3&gt;15000,130,IF(T3&gt;10000,110,IF(T3&gt;0,0)))))</f>
        <v>150</v>
      </c>
      <c r="Z3" s="11"/>
      <c r="AA3" s="11"/>
      <c r="AB3" s="11"/>
      <c r="AC3" s="11">
        <f>T3-V3-W3-Y3-Z3-AB3</f>
        <v>32716.666666666664</v>
      </c>
    </row>
    <row r="4" spans="1:31" ht="16.5" x14ac:dyDescent="0.3">
      <c r="A4" s="8">
        <v>2</v>
      </c>
      <c r="B4" s="10" t="s">
        <v>30</v>
      </c>
      <c r="C4" s="10"/>
      <c r="D4" s="10"/>
      <c r="E4" s="14"/>
      <c r="F4" s="9">
        <v>30</v>
      </c>
      <c r="G4" s="9">
        <f t="shared" ref="G4:G38" si="6">30-F4</f>
        <v>0</v>
      </c>
      <c r="H4" s="9">
        <v>3</v>
      </c>
      <c r="I4" s="9"/>
      <c r="J4" s="8">
        <v>48000</v>
      </c>
      <c r="K4" s="11">
        <f>30000+3000+2000</f>
        <v>35000</v>
      </c>
      <c r="L4" s="11">
        <f t="shared" ref="L4:L13" si="7">+K4/30</f>
        <v>1166.6666666666667</v>
      </c>
      <c r="M4" s="11">
        <f t="shared" ref="M4:M13" si="8">N4/30</f>
        <v>433.33333333333331</v>
      </c>
      <c r="N4" s="11">
        <f>7500+2500+3000</f>
        <v>13000</v>
      </c>
      <c r="O4" s="11">
        <f t="shared" ref="O4:O38" si="9">L4*F4</f>
        <v>35000</v>
      </c>
      <c r="P4" s="11">
        <f>O4*1</f>
        <v>35000</v>
      </c>
      <c r="Q4" s="11">
        <v>0</v>
      </c>
      <c r="R4" s="11">
        <f>(2500+5000+2500+3000)/30*F4</f>
        <v>13000</v>
      </c>
      <c r="S4" s="11">
        <f t="shared" si="1"/>
        <v>4800</v>
      </c>
      <c r="T4" s="11">
        <f t="shared" si="2"/>
        <v>52800</v>
      </c>
      <c r="U4" s="11">
        <v>0</v>
      </c>
      <c r="V4" s="12">
        <f>IF(K4&lt;=15000,ROUND(U4*12%,0),0)</f>
        <v>0</v>
      </c>
      <c r="W4" s="12">
        <f t="shared" si="3"/>
        <v>0</v>
      </c>
      <c r="X4" s="11">
        <f t="shared" si="4"/>
        <v>52800</v>
      </c>
      <c r="Y4" s="13">
        <f t="shared" si="5"/>
        <v>200</v>
      </c>
      <c r="Z4" s="11"/>
      <c r="AA4" s="11"/>
      <c r="AB4" s="11"/>
      <c r="AC4" s="11">
        <f>T4-V4-W4-Y4-Z4-AB4</f>
        <v>52600</v>
      </c>
    </row>
    <row r="5" spans="1:31" ht="16.5" x14ac:dyDescent="0.3">
      <c r="A5" s="8">
        <v>3</v>
      </c>
      <c r="B5" s="9" t="s">
        <v>31</v>
      </c>
      <c r="C5" s="10"/>
      <c r="D5" s="10"/>
      <c r="E5" s="14"/>
      <c r="F5" s="9">
        <v>30</v>
      </c>
      <c r="G5" s="9">
        <f t="shared" si="6"/>
        <v>0</v>
      </c>
      <c r="H5" s="9"/>
      <c r="I5" s="9"/>
      <c r="J5" s="8">
        <v>25200</v>
      </c>
      <c r="K5" s="11">
        <v>23200</v>
      </c>
      <c r="L5" s="11">
        <f t="shared" si="7"/>
        <v>773.33333333333337</v>
      </c>
      <c r="M5" s="11">
        <f t="shared" si="8"/>
        <v>66.666666666666671</v>
      </c>
      <c r="N5" s="11">
        <v>2000</v>
      </c>
      <c r="O5" s="11">
        <f t="shared" si="9"/>
        <v>23200</v>
      </c>
      <c r="P5" s="11">
        <f>O5*54%</f>
        <v>12528</v>
      </c>
      <c r="Q5" s="11">
        <f>O5*0.46</f>
        <v>10672</v>
      </c>
      <c r="R5" s="11">
        <f>(2000)/30*F5</f>
        <v>2000.0000000000002</v>
      </c>
      <c r="S5" s="11">
        <f t="shared" si="1"/>
        <v>0</v>
      </c>
      <c r="T5" s="11">
        <f t="shared" si="2"/>
        <v>25200</v>
      </c>
      <c r="U5" s="11">
        <f t="shared" ref="U5:U35" si="10">+P5</f>
        <v>12528</v>
      </c>
      <c r="V5" s="12">
        <f>IF(U5&lt;=15000,ROUND(U5*12%,0),0)</f>
        <v>1503</v>
      </c>
      <c r="W5" s="12">
        <f t="shared" si="3"/>
        <v>0</v>
      </c>
      <c r="X5" s="11">
        <f t="shared" si="4"/>
        <v>23697</v>
      </c>
      <c r="Y5" s="13">
        <f t="shared" si="5"/>
        <v>150</v>
      </c>
      <c r="Z5" s="11"/>
      <c r="AA5" s="11"/>
      <c r="AB5" s="11"/>
      <c r="AC5" s="11">
        <f>T5-V5-W5-Y5-Z5-AB5-AA5</f>
        <v>23547</v>
      </c>
    </row>
    <row r="6" spans="1:31" ht="16.5" x14ac:dyDescent="0.3">
      <c r="A6" s="8">
        <v>4</v>
      </c>
      <c r="B6" s="10" t="s">
        <v>32</v>
      </c>
      <c r="C6" s="10"/>
      <c r="D6" s="10"/>
      <c r="E6" s="9" t="s">
        <v>33</v>
      </c>
      <c r="F6" s="9">
        <v>25</v>
      </c>
      <c r="G6" s="9">
        <f t="shared" si="6"/>
        <v>5</v>
      </c>
      <c r="H6" s="9"/>
      <c r="I6" s="15"/>
      <c r="J6" s="8">
        <v>25000</v>
      </c>
      <c r="K6" s="11">
        <v>23000</v>
      </c>
      <c r="L6" s="11">
        <f t="shared" si="7"/>
        <v>766.66666666666663</v>
      </c>
      <c r="M6" s="11">
        <f t="shared" si="8"/>
        <v>66.666666666666671</v>
      </c>
      <c r="N6" s="11">
        <v>2000</v>
      </c>
      <c r="O6" s="11">
        <f>L6*F6</f>
        <v>19166.666666666664</v>
      </c>
      <c r="P6" s="11">
        <f t="shared" ref="P6" si="11">O6*1</f>
        <v>19166.666666666664</v>
      </c>
      <c r="Q6" s="11">
        <v>0</v>
      </c>
      <c r="R6" s="11">
        <f>(2000)/30*F6</f>
        <v>1666.6666666666667</v>
      </c>
      <c r="S6" s="11">
        <f>(L6+M6)*H6</f>
        <v>0</v>
      </c>
      <c r="T6" s="11">
        <f t="shared" si="2"/>
        <v>20833.333333333332</v>
      </c>
      <c r="U6" s="11">
        <v>0</v>
      </c>
      <c r="V6" s="12">
        <f t="shared" ref="V6" si="12">IF(K6&lt;=15000,ROUND(U6*12%,0),0)</f>
        <v>0</v>
      </c>
      <c r="W6" s="12">
        <f t="shared" si="3"/>
        <v>0</v>
      </c>
      <c r="X6" s="11">
        <f t="shared" si="4"/>
        <v>20833.333333333332</v>
      </c>
      <c r="Y6" s="13">
        <f t="shared" si="5"/>
        <v>130</v>
      </c>
      <c r="Z6" s="11"/>
      <c r="AA6" s="11"/>
      <c r="AB6" s="11"/>
      <c r="AC6" s="11">
        <f t="shared" ref="AC6" si="13">T6-V6-W6-Y6-Z6-AB6</f>
        <v>20703.333333333332</v>
      </c>
    </row>
    <row r="7" spans="1:31" s="38" customFormat="1" ht="16.5" x14ac:dyDescent="0.3">
      <c r="A7" s="8">
        <v>5</v>
      </c>
      <c r="B7" s="10" t="s">
        <v>34</v>
      </c>
      <c r="C7" s="10"/>
      <c r="D7" s="10"/>
      <c r="E7" s="9" t="s">
        <v>33</v>
      </c>
      <c r="F7" s="9">
        <v>6</v>
      </c>
      <c r="G7" s="9">
        <f t="shared" si="6"/>
        <v>24</v>
      </c>
      <c r="H7" s="9"/>
      <c r="I7" s="15"/>
      <c r="J7" s="8">
        <v>20100</v>
      </c>
      <c r="K7" s="11">
        <v>18100</v>
      </c>
      <c r="L7" s="11">
        <f t="shared" si="7"/>
        <v>603.33333333333337</v>
      </c>
      <c r="M7" s="11">
        <f t="shared" si="8"/>
        <v>66.666666666666671</v>
      </c>
      <c r="N7" s="11">
        <v>2000</v>
      </c>
      <c r="O7" s="11">
        <f>L7*F7</f>
        <v>3620</v>
      </c>
      <c r="P7" s="11">
        <f>O7*0.6</f>
        <v>2172</v>
      </c>
      <c r="Q7" s="11">
        <f>O7*0.4</f>
        <v>1448</v>
      </c>
      <c r="R7" s="11">
        <f>(2000)/30*F7</f>
        <v>400</v>
      </c>
      <c r="S7" s="11">
        <f>(L7+M7)*H7</f>
        <v>0</v>
      </c>
      <c r="T7" s="11">
        <f t="shared" si="2"/>
        <v>4020</v>
      </c>
      <c r="U7" s="11">
        <f t="shared" si="10"/>
        <v>2172</v>
      </c>
      <c r="V7" s="12">
        <f>IF(U7&lt;=15000,ROUND(U7*12%,0),0)</f>
        <v>261</v>
      </c>
      <c r="W7" s="12">
        <f>IF(J7&lt;=21000,ROUNDUP(O7*0.75%,0),0)</f>
        <v>28</v>
      </c>
      <c r="X7" s="11">
        <f t="shared" si="4"/>
        <v>3731</v>
      </c>
      <c r="Y7" s="13">
        <f t="shared" si="5"/>
        <v>0</v>
      </c>
      <c r="Z7" s="16"/>
      <c r="AA7" s="11"/>
      <c r="AB7" s="11"/>
      <c r="AC7" s="11">
        <f>T7-V7-W7-Y7-Z7-AB7</f>
        <v>3731</v>
      </c>
    </row>
    <row r="8" spans="1:31" s="38" customFormat="1" ht="16.5" x14ac:dyDescent="0.3">
      <c r="A8" s="8">
        <v>6</v>
      </c>
      <c r="B8" s="10" t="s">
        <v>35</v>
      </c>
      <c r="C8" s="10"/>
      <c r="D8" s="10"/>
      <c r="E8" s="9" t="s">
        <v>33</v>
      </c>
      <c r="F8" s="9">
        <v>30</v>
      </c>
      <c r="G8" s="9">
        <f t="shared" si="6"/>
        <v>0</v>
      </c>
      <c r="H8" s="9"/>
      <c r="I8" s="15"/>
      <c r="J8" s="8">
        <v>17950</v>
      </c>
      <c r="K8" s="11">
        <f>12000+1000</f>
        <v>13000</v>
      </c>
      <c r="L8" s="11">
        <f t="shared" si="7"/>
        <v>433.33333333333331</v>
      </c>
      <c r="M8" s="11">
        <f t="shared" si="8"/>
        <v>165</v>
      </c>
      <c r="N8" s="11">
        <f>2000+1000+1000+950</f>
        <v>4950</v>
      </c>
      <c r="O8" s="11">
        <f t="shared" si="9"/>
        <v>13000</v>
      </c>
      <c r="P8" s="11">
        <f>O8*0.7</f>
        <v>9100</v>
      </c>
      <c r="Q8" s="11">
        <f>O8*0.3</f>
        <v>3900</v>
      </c>
      <c r="R8" s="11">
        <f>(1000+1000+1000+1000+950)/30*F8</f>
        <v>4950</v>
      </c>
      <c r="S8" s="11">
        <f t="shared" si="1"/>
        <v>0</v>
      </c>
      <c r="T8" s="11">
        <f t="shared" si="2"/>
        <v>17950</v>
      </c>
      <c r="U8" s="11">
        <f t="shared" si="10"/>
        <v>9100</v>
      </c>
      <c r="V8" s="12">
        <f>IF(K8&lt;=15000,ROUND(U8*12%,0),0)</f>
        <v>1092</v>
      </c>
      <c r="W8" s="12">
        <f t="shared" si="3"/>
        <v>98</v>
      </c>
      <c r="X8" s="11">
        <f t="shared" si="4"/>
        <v>16760</v>
      </c>
      <c r="Y8" s="13">
        <f t="shared" si="5"/>
        <v>130</v>
      </c>
      <c r="Z8" s="16"/>
      <c r="AA8" s="11"/>
      <c r="AB8" s="11"/>
      <c r="AC8" s="11">
        <f t="shared" ref="AC8:AC9" si="14">T8-V8-W8-Y8-Z8-AB8</f>
        <v>16630</v>
      </c>
    </row>
    <row r="9" spans="1:31" ht="16.5" x14ac:dyDescent="0.3">
      <c r="A9" s="8">
        <v>7</v>
      </c>
      <c r="B9" s="10" t="s">
        <v>36</v>
      </c>
      <c r="C9" s="17"/>
      <c r="D9" s="17"/>
      <c r="E9" s="18" t="s">
        <v>33</v>
      </c>
      <c r="F9" s="9">
        <v>26</v>
      </c>
      <c r="G9" s="9">
        <f t="shared" si="6"/>
        <v>4</v>
      </c>
      <c r="H9" s="18"/>
      <c r="I9" s="19"/>
      <c r="J9" s="8">
        <v>13500</v>
      </c>
      <c r="K9" s="20">
        <v>10500</v>
      </c>
      <c r="L9" s="11">
        <f t="shared" si="7"/>
        <v>350</v>
      </c>
      <c r="M9" s="11">
        <f t="shared" si="8"/>
        <v>100</v>
      </c>
      <c r="N9" s="20">
        <f>1500+1500</f>
        <v>3000</v>
      </c>
      <c r="O9" s="20">
        <f t="shared" si="9"/>
        <v>9100</v>
      </c>
      <c r="P9" s="11">
        <f>O9*0.7</f>
        <v>6370</v>
      </c>
      <c r="Q9" s="11">
        <f>O9*0.3</f>
        <v>2730</v>
      </c>
      <c r="R9" s="11">
        <f>(500+1000+1500)/30*F9</f>
        <v>2600</v>
      </c>
      <c r="S9" s="11">
        <f t="shared" si="1"/>
        <v>0</v>
      </c>
      <c r="T9" s="11">
        <f t="shared" si="2"/>
        <v>11700</v>
      </c>
      <c r="U9" s="20">
        <f t="shared" si="10"/>
        <v>6370</v>
      </c>
      <c r="V9" s="12">
        <f>IF(K9&lt;=15000,ROUND(U9*12%,0),0)</f>
        <v>764</v>
      </c>
      <c r="W9" s="12">
        <f t="shared" si="3"/>
        <v>69</v>
      </c>
      <c r="X9" s="11">
        <f t="shared" si="4"/>
        <v>10867</v>
      </c>
      <c r="Y9" s="13">
        <f t="shared" si="5"/>
        <v>110</v>
      </c>
      <c r="Z9" s="21"/>
      <c r="AA9" s="20"/>
      <c r="AB9" s="20"/>
      <c r="AC9" s="11">
        <f t="shared" si="14"/>
        <v>10757</v>
      </c>
    </row>
    <row r="10" spans="1:31" s="38" customFormat="1" ht="16.5" x14ac:dyDescent="0.3">
      <c r="A10" s="8">
        <v>8</v>
      </c>
      <c r="B10" s="10" t="s">
        <v>37</v>
      </c>
      <c r="C10" s="10"/>
      <c r="D10" s="10"/>
      <c r="E10" s="8"/>
      <c r="F10" s="9">
        <v>28</v>
      </c>
      <c r="G10" s="9">
        <f t="shared" si="6"/>
        <v>2</v>
      </c>
      <c r="H10" s="9"/>
      <c r="I10" s="15"/>
      <c r="J10" s="8">
        <v>21000</v>
      </c>
      <c r="K10" s="11">
        <f>15000+1000+1000</f>
        <v>17000</v>
      </c>
      <c r="L10" s="11">
        <f t="shared" si="7"/>
        <v>566.66666666666663</v>
      </c>
      <c r="M10" s="11">
        <f t="shared" si="8"/>
        <v>133.33333333333334</v>
      </c>
      <c r="N10" s="11">
        <f>2000+2000</f>
        <v>4000</v>
      </c>
      <c r="O10" s="11">
        <f t="shared" si="9"/>
        <v>15866.666666666666</v>
      </c>
      <c r="P10" s="11">
        <f>O10*0.7</f>
        <v>11106.666666666666</v>
      </c>
      <c r="Q10" s="11">
        <f>O10*0.3</f>
        <v>4760</v>
      </c>
      <c r="R10" s="11">
        <f>(1000+1000+2000)/30*F10</f>
        <v>3733.3333333333335</v>
      </c>
      <c r="S10" s="11">
        <f>L10*H10</f>
        <v>0</v>
      </c>
      <c r="T10" s="11">
        <f t="shared" si="2"/>
        <v>19600</v>
      </c>
      <c r="U10" s="11">
        <f t="shared" si="10"/>
        <v>11106.666666666666</v>
      </c>
      <c r="V10" s="12">
        <f>IF(U10&lt;=15000,ROUND(U10*12%,0),0)</f>
        <v>1333</v>
      </c>
      <c r="W10" s="12">
        <f t="shared" si="3"/>
        <v>119</v>
      </c>
      <c r="X10" s="11">
        <f t="shared" si="4"/>
        <v>18148</v>
      </c>
      <c r="Y10" s="13">
        <f t="shared" si="5"/>
        <v>130</v>
      </c>
      <c r="Z10" s="37"/>
      <c r="AA10" s="11"/>
      <c r="AB10" s="11"/>
      <c r="AC10" s="11">
        <f>T10-V10-W10-Y10-Z10-AB10-AA10</f>
        <v>18018</v>
      </c>
    </row>
    <row r="11" spans="1:31" s="38" customFormat="1" ht="16.5" x14ac:dyDescent="0.3">
      <c r="A11" s="8">
        <v>9</v>
      </c>
      <c r="B11" s="10" t="s">
        <v>38</v>
      </c>
      <c r="C11" s="10"/>
      <c r="D11" s="10"/>
      <c r="E11" s="14"/>
      <c r="F11" s="9">
        <v>29</v>
      </c>
      <c r="G11" s="9">
        <f t="shared" si="6"/>
        <v>1</v>
      </c>
      <c r="H11" s="9"/>
      <c r="I11" s="9"/>
      <c r="J11" s="8">
        <v>10280</v>
      </c>
      <c r="K11" s="11">
        <v>10280</v>
      </c>
      <c r="L11" s="11">
        <f t="shared" si="7"/>
        <v>342.66666666666669</v>
      </c>
      <c r="M11" s="11">
        <f t="shared" si="8"/>
        <v>0</v>
      </c>
      <c r="N11" s="11"/>
      <c r="O11" s="11">
        <f t="shared" si="9"/>
        <v>9937.3333333333339</v>
      </c>
      <c r="P11" s="11">
        <f>O11*0.6</f>
        <v>5962.4000000000005</v>
      </c>
      <c r="Q11" s="11">
        <f>O11*0.4</f>
        <v>3974.9333333333338</v>
      </c>
      <c r="R11" s="11"/>
      <c r="S11" s="11">
        <f t="shared" ref="S11:S38" si="15">(L11+M11)*H11</f>
        <v>0</v>
      </c>
      <c r="T11" s="11">
        <f t="shared" si="2"/>
        <v>9937.3333333333339</v>
      </c>
      <c r="U11" s="11">
        <f t="shared" si="10"/>
        <v>5962.4000000000005</v>
      </c>
      <c r="V11" s="12">
        <f>IF(K11&lt;=15000,ROUND(U11*12%,0),0)</f>
        <v>715</v>
      </c>
      <c r="W11" s="12">
        <f t="shared" si="3"/>
        <v>75</v>
      </c>
      <c r="X11" s="11">
        <f t="shared" si="4"/>
        <v>9147.3333333333339</v>
      </c>
      <c r="Y11" s="13">
        <f t="shared" si="5"/>
        <v>0</v>
      </c>
      <c r="Z11" s="37"/>
      <c r="AA11" s="11"/>
      <c r="AB11" s="11"/>
      <c r="AC11" s="11">
        <f t="shared" ref="AC11:AC35" si="16">T11-V11-W11-Y11-Z11-AB11</f>
        <v>9147.3333333333339</v>
      </c>
    </row>
    <row r="12" spans="1:31" ht="16.5" x14ac:dyDescent="0.3">
      <c r="A12" s="8">
        <v>10</v>
      </c>
      <c r="B12" s="10" t="s">
        <v>39</v>
      </c>
      <c r="C12" s="10"/>
      <c r="D12" s="10"/>
      <c r="E12" s="14"/>
      <c r="F12" s="9">
        <v>29</v>
      </c>
      <c r="G12" s="9">
        <f t="shared" si="6"/>
        <v>1</v>
      </c>
      <c r="H12" s="9"/>
      <c r="I12" s="9"/>
      <c r="J12" s="8">
        <v>21100</v>
      </c>
      <c r="K12" s="11">
        <v>21100</v>
      </c>
      <c r="L12" s="11">
        <f t="shared" si="7"/>
        <v>703.33333333333337</v>
      </c>
      <c r="M12" s="11">
        <f t="shared" si="8"/>
        <v>0</v>
      </c>
      <c r="N12" s="11"/>
      <c r="O12" s="11">
        <f t="shared" si="9"/>
        <v>20396.666666666668</v>
      </c>
      <c r="P12" s="11">
        <f>O12*0.5</f>
        <v>10198.333333333334</v>
      </c>
      <c r="Q12" s="11">
        <f>O12*0.5</f>
        <v>10198.333333333334</v>
      </c>
      <c r="R12" s="11">
        <f>(0)/31*F12</f>
        <v>0</v>
      </c>
      <c r="S12" s="11">
        <f t="shared" si="15"/>
        <v>0</v>
      </c>
      <c r="T12" s="11">
        <f t="shared" si="2"/>
        <v>20396.666666666668</v>
      </c>
      <c r="U12" s="11">
        <f t="shared" si="10"/>
        <v>10198.333333333334</v>
      </c>
      <c r="V12" s="12">
        <f>IF(K11&lt;=15000,ROUND(U12*12%,0),0)</f>
        <v>1224</v>
      </c>
      <c r="W12" s="12">
        <f t="shared" si="3"/>
        <v>0</v>
      </c>
      <c r="X12" s="11">
        <f t="shared" si="4"/>
        <v>19172.666666666668</v>
      </c>
      <c r="Y12" s="13">
        <f t="shared" si="5"/>
        <v>130</v>
      </c>
      <c r="Z12" s="16"/>
      <c r="AA12" s="11"/>
      <c r="AB12" s="11"/>
      <c r="AC12" s="11">
        <f t="shared" si="16"/>
        <v>19042.666666666668</v>
      </c>
    </row>
    <row r="13" spans="1:31" ht="16.5" x14ac:dyDescent="0.3">
      <c r="A13" s="8">
        <v>11</v>
      </c>
      <c r="B13" s="10" t="s">
        <v>40</v>
      </c>
      <c r="C13" s="10"/>
      <c r="D13" s="10"/>
      <c r="E13" s="14"/>
      <c r="F13" s="9">
        <v>29</v>
      </c>
      <c r="G13" s="9">
        <f t="shared" si="6"/>
        <v>1</v>
      </c>
      <c r="H13" s="9"/>
      <c r="I13" s="9"/>
      <c r="J13" s="8">
        <v>6800</v>
      </c>
      <c r="K13" s="11">
        <f>6500</f>
        <v>6500</v>
      </c>
      <c r="L13" s="11">
        <f t="shared" si="7"/>
        <v>216.66666666666666</v>
      </c>
      <c r="M13" s="11">
        <f t="shared" si="8"/>
        <v>29.333333333333332</v>
      </c>
      <c r="N13" s="11">
        <f>300+580</f>
        <v>880</v>
      </c>
      <c r="O13" s="11">
        <f t="shared" si="9"/>
        <v>6283.333333333333</v>
      </c>
      <c r="P13" s="11">
        <f>O13*1</f>
        <v>6283.333333333333</v>
      </c>
      <c r="Q13" s="11">
        <v>0</v>
      </c>
      <c r="R13" s="11">
        <f>(300+580)/30*F13</f>
        <v>850.66666666666663</v>
      </c>
      <c r="S13" s="11">
        <f t="shared" si="15"/>
        <v>0</v>
      </c>
      <c r="T13" s="11">
        <f t="shared" si="2"/>
        <v>7134</v>
      </c>
      <c r="U13" s="11">
        <f t="shared" si="10"/>
        <v>6283.333333333333</v>
      </c>
      <c r="V13" s="12">
        <f t="shared" ref="V13:V37" si="17">IF(K13&lt;=15000,ROUND(U13*12%,0),0)</f>
        <v>754</v>
      </c>
      <c r="W13" s="12">
        <f t="shared" si="3"/>
        <v>48</v>
      </c>
      <c r="X13" s="11">
        <f t="shared" si="4"/>
        <v>6332</v>
      </c>
      <c r="Y13" s="13">
        <f t="shared" si="5"/>
        <v>0</v>
      </c>
      <c r="Z13" s="16"/>
      <c r="AA13" s="11"/>
      <c r="AB13" s="11"/>
      <c r="AC13" s="11">
        <f t="shared" si="16"/>
        <v>6332</v>
      </c>
      <c r="AE13" s="53"/>
    </row>
    <row r="14" spans="1:31" ht="16.5" x14ac:dyDescent="0.3">
      <c r="A14" s="8">
        <v>12</v>
      </c>
      <c r="B14" s="9" t="s">
        <v>41</v>
      </c>
      <c r="C14" s="9"/>
      <c r="D14" s="9"/>
      <c r="E14" s="9" t="s">
        <v>42</v>
      </c>
      <c r="F14" s="9">
        <v>30</v>
      </c>
      <c r="G14" s="9">
        <f t="shared" si="6"/>
        <v>0</v>
      </c>
      <c r="H14" s="9">
        <v>2</v>
      </c>
      <c r="I14" s="15"/>
      <c r="J14" s="15"/>
      <c r="K14" s="11"/>
      <c r="L14" s="11">
        <v>220</v>
      </c>
      <c r="M14" s="11">
        <v>10</v>
      </c>
      <c r="N14" s="11"/>
      <c r="O14" s="11">
        <f t="shared" si="9"/>
        <v>6600</v>
      </c>
      <c r="P14" s="11">
        <f t="shared" ref="P14:P35" si="18">O14*0.7</f>
        <v>4620</v>
      </c>
      <c r="Q14" s="11">
        <f t="shared" ref="Q14:Q35" si="19">O14*0.3</f>
        <v>1980</v>
      </c>
      <c r="R14" s="11">
        <f>(10)*F14</f>
        <v>300</v>
      </c>
      <c r="S14" s="11">
        <f t="shared" si="15"/>
        <v>460</v>
      </c>
      <c r="T14" s="11">
        <f t="shared" si="2"/>
        <v>7360</v>
      </c>
      <c r="U14" s="11">
        <f t="shared" si="10"/>
        <v>4620</v>
      </c>
      <c r="V14" s="12">
        <f t="shared" si="17"/>
        <v>554</v>
      </c>
      <c r="W14" s="12">
        <f t="shared" si="3"/>
        <v>50</v>
      </c>
      <c r="X14" s="11">
        <f t="shared" si="4"/>
        <v>6756</v>
      </c>
      <c r="Y14" s="13">
        <f t="shared" si="5"/>
        <v>0</v>
      </c>
      <c r="Z14" s="16"/>
      <c r="AA14" s="11"/>
      <c r="AB14" s="11"/>
      <c r="AC14" s="11">
        <f t="shared" si="16"/>
        <v>6756</v>
      </c>
      <c r="AE14" s="53"/>
    </row>
    <row r="15" spans="1:31" ht="16.5" x14ac:dyDescent="0.3">
      <c r="A15" s="8">
        <v>13</v>
      </c>
      <c r="B15" s="9" t="s">
        <v>43</v>
      </c>
      <c r="C15" s="9"/>
      <c r="D15" s="9"/>
      <c r="E15" s="9" t="s">
        <v>42</v>
      </c>
      <c r="F15" s="9">
        <v>30</v>
      </c>
      <c r="G15" s="9">
        <f t="shared" si="6"/>
        <v>0</v>
      </c>
      <c r="H15" s="9"/>
      <c r="I15" s="15" t="s">
        <v>44</v>
      </c>
      <c r="J15" s="15"/>
      <c r="K15" s="11"/>
      <c r="L15" s="11">
        <v>325</v>
      </c>
      <c r="M15" s="11">
        <f t="shared" ref="M15:M30" si="20">R15/F15</f>
        <v>60</v>
      </c>
      <c r="N15" s="11"/>
      <c r="O15" s="11">
        <f t="shared" si="9"/>
        <v>9750</v>
      </c>
      <c r="P15" s="11">
        <f t="shared" si="18"/>
        <v>6825</v>
      </c>
      <c r="Q15" s="11">
        <f t="shared" si="19"/>
        <v>2925</v>
      </c>
      <c r="R15" s="11">
        <f>(15+45)*F15</f>
        <v>1800</v>
      </c>
      <c r="S15" s="11">
        <f t="shared" si="15"/>
        <v>0</v>
      </c>
      <c r="T15" s="11">
        <f t="shared" si="2"/>
        <v>11550</v>
      </c>
      <c r="U15" s="11">
        <f t="shared" si="10"/>
        <v>6825</v>
      </c>
      <c r="V15" s="12">
        <f t="shared" si="17"/>
        <v>819</v>
      </c>
      <c r="W15" s="12">
        <f t="shared" si="3"/>
        <v>74</v>
      </c>
      <c r="X15" s="11">
        <f t="shared" si="4"/>
        <v>10657</v>
      </c>
      <c r="Y15" s="13">
        <f t="shared" si="5"/>
        <v>110</v>
      </c>
      <c r="Z15" s="16"/>
      <c r="AA15" s="11"/>
      <c r="AB15" s="11"/>
      <c r="AC15" s="11">
        <f t="shared" si="16"/>
        <v>10547</v>
      </c>
      <c r="AE15" s="53">
        <f>(F15+H15)*15</f>
        <v>450</v>
      </c>
    </row>
    <row r="16" spans="1:31" ht="16.5" x14ac:dyDescent="0.3">
      <c r="A16" s="8">
        <v>14</v>
      </c>
      <c r="B16" s="9" t="s">
        <v>45</v>
      </c>
      <c r="C16" s="9"/>
      <c r="D16" s="9"/>
      <c r="E16" s="9" t="s">
        <v>42</v>
      </c>
      <c r="F16" s="9">
        <v>24</v>
      </c>
      <c r="G16" s="9">
        <f t="shared" si="6"/>
        <v>6</v>
      </c>
      <c r="H16" s="9"/>
      <c r="I16" s="15" t="s">
        <v>46</v>
      </c>
      <c r="J16" s="15"/>
      <c r="K16" s="11"/>
      <c r="L16" s="11">
        <v>325</v>
      </c>
      <c r="M16" s="11">
        <f t="shared" si="20"/>
        <v>35</v>
      </c>
      <c r="N16" s="11"/>
      <c r="O16" s="11">
        <f t="shared" si="9"/>
        <v>7800</v>
      </c>
      <c r="P16" s="11">
        <f t="shared" si="18"/>
        <v>5460</v>
      </c>
      <c r="Q16" s="11">
        <f t="shared" si="19"/>
        <v>2340</v>
      </c>
      <c r="R16" s="11">
        <f>(15+20)*F16</f>
        <v>840</v>
      </c>
      <c r="S16" s="11">
        <f t="shared" si="15"/>
        <v>0</v>
      </c>
      <c r="T16" s="11">
        <f t="shared" si="2"/>
        <v>8640</v>
      </c>
      <c r="U16" s="11">
        <f t="shared" si="10"/>
        <v>5460</v>
      </c>
      <c r="V16" s="12">
        <f t="shared" si="17"/>
        <v>655</v>
      </c>
      <c r="W16" s="12">
        <f t="shared" si="3"/>
        <v>59</v>
      </c>
      <c r="X16" s="11">
        <f t="shared" si="4"/>
        <v>7926</v>
      </c>
      <c r="Y16" s="13">
        <f t="shared" si="5"/>
        <v>0</v>
      </c>
      <c r="Z16" s="16"/>
      <c r="AA16" s="11"/>
      <c r="AB16" s="11"/>
      <c r="AC16" s="11">
        <f t="shared" si="16"/>
        <v>7926</v>
      </c>
      <c r="AE16" s="53">
        <f t="shared" ref="AE16:AE34" si="21">(F16+H16)*15</f>
        <v>360</v>
      </c>
    </row>
    <row r="17" spans="1:31" ht="16.5" x14ac:dyDescent="0.3">
      <c r="A17" s="8">
        <v>15</v>
      </c>
      <c r="B17" s="9" t="s">
        <v>47</v>
      </c>
      <c r="C17" s="9"/>
      <c r="D17" s="9"/>
      <c r="E17" s="9" t="s">
        <v>42</v>
      </c>
      <c r="F17" s="9">
        <v>29</v>
      </c>
      <c r="G17" s="9">
        <f t="shared" si="6"/>
        <v>1</v>
      </c>
      <c r="H17" s="9"/>
      <c r="I17" s="15" t="s">
        <v>44</v>
      </c>
      <c r="J17" s="15"/>
      <c r="K17" s="11"/>
      <c r="L17" s="11">
        <v>325</v>
      </c>
      <c r="M17" s="11">
        <f t="shared" si="20"/>
        <v>60</v>
      </c>
      <c r="N17" s="11"/>
      <c r="O17" s="11">
        <f>L17*F17</f>
        <v>9425</v>
      </c>
      <c r="P17" s="11">
        <f t="shared" si="18"/>
        <v>6597.5</v>
      </c>
      <c r="Q17" s="11">
        <f t="shared" si="19"/>
        <v>2827.5</v>
      </c>
      <c r="R17" s="11">
        <f>(35+25)*F17</f>
        <v>1740</v>
      </c>
      <c r="S17" s="11">
        <f t="shared" si="15"/>
        <v>0</v>
      </c>
      <c r="T17" s="11">
        <f t="shared" si="2"/>
        <v>11165</v>
      </c>
      <c r="U17" s="11">
        <f t="shared" si="10"/>
        <v>6597.5</v>
      </c>
      <c r="V17" s="12">
        <f t="shared" si="17"/>
        <v>792</v>
      </c>
      <c r="W17" s="12">
        <f t="shared" si="3"/>
        <v>71</v>
      </c>
      <c r="X17" s="11">
        <f t="shared" si="4"/>
        <v>10302</v>
      </c>
      <c r="Y17" s="13">
        <f t="shared" si="5"/>
        <v>110</v>
      </c>
      <c r="Z17" s="16"/>
      <c r="AA17" s="11"/>
      <c r="AB17" s="11"/>
      <c r="AC17" s="11">
        <f t="shared" si="16"/>
        <v>10192</v>
      </c>
      <c r="AE17" s="53">
        <f t="shared" si="21"/>
        <v>435</v>
      </c>
    </row>
    <row r="18" spans="1:31" ht="16.5" x14ac:dyDescent="0.3">
      <c r="A18" s="8">
        <v>16</v>
      </c>
      <c r="B18" s="9" t="s">
        <v>48</v>
      </c>
      <c r="C18" s="9"/>
      <c r="D18" s="9"/>
      <c r="E18" s="9" t="s">
        <v>42</v>
      </c>
      <c r="F18" s="9">
        <v>30</v>
      </c>
      <c r="G18" s="9">
        <f t="shared" si="6"/>
        <v>0</v>
      </c>
      <c r="H18" s="9"/>
      <c r="I18" s="15" t="s">
        <v>44</v>
      </c>
      <c r="J18" s="15"/>
      <c r="K18" s="11"/>
      <c r="L18" s="11">
        <v>335</v>
      </c>
      <c r="M18" s="11">
        <f t="shared" si="20"/>
        <v>50</v>
      </c>
      <c r="N18" s="11"/>
      <c r="O18" s="11">
        <f t="shared" si="9"/>
        <v>10050</v>
      </c>
      <c r="P18" s="11">
        <f t="shared" si="18"/>
        <v>7035</v>
      </c>
      <c r="Q18" s="11">
        <f t="shared" si="19"/>
        <v>3015</v>
      </c>
      <c r="R18" s="11">
        <f>(25+25)*F18</f>
        <v>1500</v>
      </c>
      <c r="S18" s="11">
        <f t="shared" si="15"/>
        <v>0</v>
      </c>
      <c r="T18" s="11">
        <f t="shared" si="2"/>
        <v>11550</v>
      </c>
      <c r="U18" s="11">
        <f t="shared" si="10"/>
        <v>7035</v>
      </c>
      <c r="V18" s="12">
        <f t="shared" si="17"/>
        <v>844</v>
      </c>
      <c r="W18" s="12">
        <f t="shared" si="3"/>
        <v>76</v>
      </c>
      <c r="X18" s="11">
        <f t="shared" si="4"/>
        <v>10630</v>
      </c>
      <c r="Y18" s="13">
        <f t="shared" si="5"/>
        <v>110</v>
      </c>
      <c r="Z18" s="16"/>
      <c r="AA18" s="11"/>
      <c r="AB18" s="11"/>
      <c r="AC18" s="11">
        <f t="shared" si="16"/>
        <v>10520</v>
      </c>
      <c r="AE18" s="53">
        <f t="shared" si="21"/>
        <v>450</v>
      </c>
    </row>
    <row r="19" spans="1:31" ht="16.5" x14ac:dyDescent="0.3">
      <c r="A19" s="8">
        <v>17</v>
      </c>
      <c r="B19" s="10" t="s">
        <v>49</v>
      </c>
      <c r="C19" s="10"/>
      <c r="D19" s="10"/>
      <c r="E19" s="9" t="s">
        <v>50</v>
      </c>
      <c r="F19" s="9">
        <v>30</v>
      </c>
      <c r="G19" s="9">
        <f t="shared" si="6"/>
        <v>0</v>
      </c>
      <c r="H19" s="9"/>
      <c r="I19" s="15" t="s">
        <v>44</v>
      </c>
      <c r="J19" s="15"/>
      <c r="K19" s="11"/>
      <c r="L19" s="11">
        <v>325</v>
      </c>
      <c r="M19" s="11">
        <f t="shared" si="20"/>
        <v>60</v>
      </c>
      <c r="N19" s="11"/>
      <c r="O19" s="11">
        <f t="shared" si="9"/>
        <v>9750</v>
      </c>
      <c r="P19" s="11">
        <f t="shared" si="18"/>
        <v>6825</v>
      </c>
      <c r="Q19" s="11">
        <f t="shared" si="19"/>
        <v>2925</v>
      </c>
      <c r="R19" s="11">
        <f>(35+25)*F19</f>
        <v>1800</v>
      </c>
      <c r="S19" s="11">
        <f t="shared" si="15"/>
        <v>0</v>
      </c>
      <c r="T19" s="11">
        <f t="shared" si="2"/>
        <v>11550</v>
      </c>
      <c r="U19" s="11">
        <f t="shared" si="10"/>
        <v>6825</v>
      </c>
      <c r="V19" s="12">
        <f t="shared" si="17"/>
        <v>819</v>
      </c>
      <c r="W19" s="12">
        <f t="shared" si="3"/>
        <v>74</v>
      </c>
      <c r="X19" s="11">
        <f t="shared" si="4"/>
        <v>10657</v>
      </c>
      <c r="Y19" s="13">
        <f t="shared" si="5"/>
        <v>110</v>
      </c>
      <c r="Z19" s="11"/>
      <c r="AA19" s="11"/>
      <c r="AB19" s="11"/>
      <c r="AC19" s="11">
        <f t="shared" si="16"/>
        <v>10547</v>
      </c>
      <c r="AE19" s="53">
        <f t="shared" si="21"/>
        <v>450</v>
      </c>
    </row>
    <row r="20" spans="1:31" ht="16.5" x14ac:dyDescent="0.3">
      <c r="A20" s="8">
        <v>18</v>
      </c>
      <c r="B20" s="9" t="s">
        <v>51</v>
      </c>
      <c r="C20" s="9"/>
      <c r="D20" s="9"/>
      <c r="E20" s="9" t="s">
        <v>42</v>
      </c>
      <c r="F20" s="9">
        <v>30</v>
      </c>
      <c r="G20" s="9">
        <f t="shared" si="6"/>
        <v>0</v>
      </c>
      <c r="H20" s="9"/>
      <c r="I20" s="15" t="s">
        <v>44</v>
      </c>
      <c r="J20" s="15"/>
      <c r="K20" s="11"/>
      <c r="L20" s="11">
        <v>325</v>
      </c>
      <c r="M20" s="11">
        <f t="shared" si="20"/>
        <v>60</v>
      </c>
      <c r="N20" s="11"/>
      <c r="O20" s="11">
        <f t="shared" si="9"/>
        <v>9750</v>
      </c>
      <c r="P20" s="11">
        <f t="shared" si="18"/>
        <v>6825</v>
      </c>
      <c r="Q20" s="11">
        <f t="shared" si="19"/>
        <v>2925</v>
      </c>
      <c r="R20" s="11">
        <f>(15+45)*F20</f>
        <v>1800</v>
      </c>
      <c r="S20" s="11">
        <f t="shared" si="15"/>
        <v>0</v>
      </c>
      <c r="T20" s="11">
        <f t="shared" si="2"/>
        <v>11550</v>
      </c>
      <c r="U20" s="11">
        <f t="shared" si="10"/>
        <v>6825</v>
      </c>
      <c r="V20" s="12">
        <f t="shared" si="17"/>
        <v>819</v>
      </c>
      <c r="W20" s="12">
        <f t="shared" si="3"/>
        <v>74</v>
      </c>
      <c r="X20" s="11">
        <f t="shared" si="4"/>
        <v>10657</v>
      </c>
      <c r="Y20" s="13">
        <f t="shared" si="5"/>
        <v>110</v>
      </c>
      <c r="Z20" s="11"/>
      <c r="AA20" s="11"/>
      <c r="AB20" s="11"/>
      <c r="AC20" s="11">
        <f t="shared" si="16"/>
        <v>10547</v>
      </c>
      <c r="AE20" s="53">
        <f t="shared" si="21"/>
        <v>450</v>
      </c>
    </row>
    <row r="21" spans="1:31" ht="16.5" x14ac:dyDescent="0.3">
      <c r="A21" s="8">
        <v>19</v>
      </c>
      <c r="B21" s="9" t="s">
        <v>52</v>
      </c>
      <c r="C21" s="9"/>
      <c r="D21" s="9"/>
      <c r="E21" s="9" t="s">
        <v>42</v>
      </c>
      <c r="F21" s="9">
        <v>30</v>
      </c>
      <c r="G21" s="9">
        <f t="shared" si="6"/>
        <v>0</v>
      </c>
      <c r="H21" s="9">
        <v>3</v>
      </c>
      <c r="I21" s="15" t="s">
        <v>44</v>
      </c>
      <c r="J21" s="15"/>
      <c r="K21" s="11"/>
      <c r="L21" s="11">
        <v>325</v>
      </c>
      <c r="M21" s="11">
        <f t="shared" si="20"/>
        <v>60</v>
      </c>
      <c r="N21" s="11"/>
      <c r="O21" s="11">
        <f t="shared" si="9"/>
        <v>9750</v>
      </c>
      <c r="P21" s="11">
        <f t="shared" si="18"/>
        <v>6825</v>
      </c>
      <c r="Q21" s="11">
        <f t="shared" si="19"/>
        <v>2925</v>
      </c>
      <c r="R21" s="11">
        <f>(15+45)*F21</f>
        <v>1800</v>
      </c>
      <c r="S21" s="11">
        <f t="shared" si="15"/>
        <v>1155</v>
      </c>
      <c r="T21" s="11">
        <f t="shared" si="2"/>
        <v>12705</v>
      </c>
      <c r="U21" s="11">
        <f t="shared" si="10"/>
        <v>6825</v>
      </c>
      <c r="V21" s="12">
        <f t="shared" si="17"/>
        <v>819</v>
      </c>
      <c r="W21" s="12">
        <f t="shared" si="3"/>
        <v>74</v>
      </c>
      <c r="X21" s="11">
        <f t="shared" si="4"/>
        <v>11812</v>
      </c>
      <c r="Y21" s="13">
        <f t="shared" si="5"/>
        <v>110</v>
      </c>
      <c r="Z21" s="11"/>
      <c r="AA21" s="11"/>
      <c r="AB21" s="11"/>
      <c r="AC21" s="11">
        <f t="shared" si="16"/>
        <v>11702</v>
      </c>
      <c r="AE21" s="53">
        <f t="shared" si="21"/>
        <v>495</v>
      </c>
    </row>
    <row r="22" spans="1:31" ht="16.5" x14ac:dyDescent="0.3">
      <c r="A22" s="8">
        <v>20</v>
      </c>
      <c r="B22" s="9" t="s">
        <v>53</v>
      </c>
      <c r="C22" s="9"/>
      <c r="D22" s="9"/>
      <c r="E22" s="9"/>
      <c r="F22" s="9">
        <v>30</v>
      </c>
      <c r="G22" s="9">
        <f t="shared" si="6"/>
        <v>0</v>
      </c>
      <c r="H22" s="9">
        <v>3</v>
      </c>
      <c r="I22" s="15" t="s">
        <v>44</v>
      </c>
      <c r="J22" s="15"/>
      <c r="K22" s="11"/>
      <c r="L22" s="11">
        <v>335</v>
      </c>
      <c r="M22" s="11">
        <f t="shared" si="20"/>
        <v>50</v>
      </c>
      <c r="N22" s="11"/>
      <c r="O22" s="11">
        <f t="shared" si="9"/>
        <v>10050</v>
      </c>
      <c r="P22" s="11">
        <f t="shared" si="18"/>
        <v>7035</v>
      </c>
      <c r="Q22" s="11">
        <f t="shared" si="19"/>
        <v>3015</v>
      </c>
      <c r="R22" s="11">
        <f>(25+25)*F22</f>
        <v>1500</v>
      </c>
      <c r="S22" s="11">
        <f t="shared" si="15"/>
        <v>1155</v>
      </c>
      <c r="T22" s="11">
        <f t="shared" si="2"/>
        <v>12705</v>
      </c>
      <c r="U22" s="11">
        <f>+P22</f>
        <v>7035</v>
      </c>
      <c r="V22" s="12">
        <f t="shared" si="17"/>
        <v>844</v>
      </c>
      <c r="W22" s="12">
        <f t="shared" si="3"/>
        <v>76</v>
      </c>
      <c r="X22" s="11">
        <f t="shared" si="4"/>
        <v>11785</v>
      </c>
      <c r="Y22" s="13">
        <f t="shared" si="5"/>
        <v>110</v>
      </c>
      <c r="Z22" s="11"/>
      <c r="AA22" s="11"/>
      <c r="AB22" s="11"/>
      <c r="AC22" s="11">
        <f t="shared" si="16"/>
        <v>11675</v>
      </c>
      <c r="AE22" s="53">
        <f t="shared" si="21"/>
        <v>495</v>
      </c>
    </row>
    <row r="23" spans="1:31" ht="16.5" x14ac:dyDescent="0.3">
      <c r="A23" s="8">
        <v>21</v>
      </c>
      <c r="B23" s="9" t="s">
        <v>54</v>
      </c>
      <c r="C23" s="9"/>
      <c r="D23" s="9"/>
      <c r="E23" s="22"/>
      <c r="F23" s="9">
        <v>33</v>
      </c>
      <c r="G23" s="9">
        <f t="shared" si="6"/>
        <v>-3</v>
      </c>
      <c r="H23" s="9"/>
      <c r="I23" s="15" t="s">
        <v>44</v>
      </c>
      <c r="J23" s="15"/>
      <c r="K23" s="23"/>
      <c r="L23" s="11">
        <v>335</v>
      </c>
      <c r="M23" s="11">
        <f t="shared" si="20"/>
        <v>50</v>
      </c>
      <c r="N23" s="11"/>
      <c r="O23" s="11">
        <f t="shared" si="9"/>
        <v>11055</v>
      </c>
      <c r="P23" s="11">
        <f t="shared" si="18"/>
        <v>7738.4999999999991</v>
      </c>
      <c r="Q23" s="11">
        <f t="shared" si="19"/>
        <v>3316.5</v>
      </c>
      <c r="R23" s="11">
        <f>(25+25)*F23</f>
        <v>1650</v>
      </c>
      <c r="S23" s="11">
        <f t="shared" si="15"/>
        <v>0</v>
      </c>
      <c r="T23" s="11">
        <f t="shared" si="2"/>
        <v>12705</v>
      </c>
      <c r="U23" s="11">
        <f t="shared" si="10"/>
        <v>7738.4999999999991</v>
      </c>
      <c r="V23" s="12">
        <f t="shared" si="17"/>
        <v>929</v>
      </c>
      <c r="W23" s="12">
        <f t="shared" si="3"/>
        <v>83</v>
      </c>
      <c r="X23" s="11">
        <f t="shared" si="4"/>
        <v>11693</v>
      </c>
      <c r="Y23" s="13">
        <f t="shared" si="5"/>
        <v>110</v>
      </c>
      <c r="Z23" s="11"/>
      <c r="AA23" s="11"/>
      <c r="AB23" s="11"/>
      <c r="AC23" s="11">
        <f t="shared" si="16"/>
        <v>11583</v>
      </c>
      <c r="AE23" s="53">
        <f t="shared" si="21"/>
        <v>495</v>
      </c>
    </row>
    <row r="24" spans="1:31" ht="16.5" x14ac:dyDescent="0.3">
      <c r="A24" s="8">
        <v>22</v>
      </c>
      <c r="B24" s="9" t="s">
        <v>55</v>
      </c>
      <c r="C24" s="9"/>
      <c r="D24" s="9"/>
      <c r="E24" s="22"/>
      <c r="F24" s="9">
        <v>29</v>
      </c>
      <c r="G24" s="9">
        <f t="shared" si="6"/>
        <v>1</v>
      </c>
      <c r="H24" s="9"/>
      <c r="I24" s="15" t="s">
        <v>46</v>
      </c>
      <c r="J24" s="15"/>
      <c r="K24" s="23"/>
      <c r="L24" s="11">
        <v>325</v>
      </c>
      <c r="M24" s="11">
        <f t="shared" si="20"/>
        <v>35</v>
      </c>
      <c r="N24" s="11"/>
      <c r="O24" s="11">
        <f t="shared" si="9"/>
        <v>9425</v>
      </c>
      <c r="P24" s="11">
        <f t="shared" si="18"/>
        <v>6597.5</v>
      </c>
      <c r="Q24" s="11">
        <f t="shared" si="19"/>
        <v>2827.5</v>
      </c>
      <c r="R24" s="11">
        <f>(15+20)*F24</f>
        <v>1015</v>
      </c>
      <c r="S24" s="11">
        <f t="shared" si="15"/>
        <v>0</v>
      </c>
      <c r="T24" s="11">
        <f t="shared" si="2"/>
        <v>10440</v>
      </c>
      <c r="U24" s="11">
        <f t="shared" si="10"/>
        <v>6597.5</v>
      </c>
      <c r="V24" s="12">
        <f t="shared" si="17"/>
        <v>792</v>
      </c>
      <c r="W24" s="12">
        <f t="shared" si="3"/>
        <v>71</v>
      </c>
      <c r="X24" s="11">
        <f t="shared" si="4"/>
        <v>9577</v>
      </c>
      <c r="Y24" s="13">
        <f t="shared" si="5"/>
        <v>110</v>
      </c>
      <c r="Z24" s="11"/>
      <c r="AA24" s="11"/>
      <c r="AB24" s="11"/>
      <c r="AC24" s="11">
        <f t="shared" si="16"/>
        <v>9467</v>
      </c>
      <c r="AE24" s="53">
        <f t="shared" si="21"/>
        <v>435</v>
      </c>
    </row>
    <row r="25" spans="1:31" ht="16.5" x14ac:dyDescent="0.3">
      <c r="A25" s="8">
        <v>23</v>
      </c>
      <c r="B25" s="9" t="s">
        <v>56</v>
      </c>
      <c r="C25" s="9"/>
      <c r="D25" s="9"/>
      <c r="E25" s="8"/>
      <c r="F25" s="9">
        <v>28</v>
      </c>
      <c r="G25" s="9">
        <f t="shared" si="6"/>
        <v>2</v>
      </c>
      <c r="H25" s="9"/>
      <c r="I25" s="15" t="s">
        <v>44</v>
      </c>
      <c r="J25" s="15"/>
      <c r="K25" s="23"/>
      <c r="L25" s="11">
        <v>325</v>
      </c>
      <c r="M25" s="11">
        <f t="shared" si="20"/>
        <v>60</v>
      </c>
      <c r="N25" s="11"/>
      <c r="O25" s="11">
        <f t="shared" si="9"/>
        <v>9100</v>
      </c>
      <c r="P25" s="11">
        <f t="shared" si="18"/>
        <v>6370</v>
      </c>
      <c r="Q25" s="11">
        <f t="shared" si="19"/>
        <v>2730</v>
      </c>
      <c r="R25" s="11">
        <f>(35+25)*F25</f>
        <v>1680</v>
      </c>
      <c r="S25" s="11">
        <f t="shared" si="15"/>
        <v>0</v>
      </c>
      <c r="T25" s="11">
        <f t="shared" si="2"/>
        <v>10780</v>
      </c>
      <c r="U25" s="11">
        <f t="shared" si="10"/>
        <v>6370</v>
      </c>
      <c r="V25" s="12">
        <f t="shared" si="17"/>
        <v>764</v>
      </c>
      <c r="W25" s="12">
        <f t="shared" si="3"/>
        <v>69</v>
      </c>
      <c r="X25" s="11">
        <f t="shared" si="4"/>
        <v>9947</v>
      </c>
      <c r="Y25" s="13">
        <f t="shared" si="5"/>
        <v>110</v>
      </c>
      <c r="Z25" s="11"/>
      <c r="AA25" s="11"/>
      <c r="AB25" s="11"/>
      <c r="AC25" s="11">
        <f t="shared" si="16"/>
        <v>9837</v>
      </c>
      <c r="AE25" s="53">
        <f t="shared" si="21"/>
        <v>420</v>
      </c>
    </row>
    <row r="26" spans="1:31" ht="16.5" x14ac:dyDescent="0.3">
      <c r="A26" s="8">
        <v>24</v>
      </c>
      <c r="B26" t="s">
        <v>57</v>
      </c>
      <c r="C26" s="9"/>
      <c r="D26" s="9"/>
      <c r="E26" s="8"/>
      <c r="F26" s="9">
        <v>28</v>
      </c>
      <c r="G26" s="9">
        <f t="shared" si="6"/>
        <v>2</v>
      </c>
      <c r="H26" s="9"/>
      <c r="I26" s="15" t="s">
        <v>46</v>
      </c>
      <c r="J26" s="15"/>
      <c r="K26" s="23"/>
      <c r="L26" s="11">
        <v>315</v>
      </c>
      <c r="M26" s="11">
        <f t="shared" si="20"/>
        <v>45</v>
      </c>
      <c r="N26" s="11"/>
      <c r="O26" s="11">
        <f t="shared" si="9"/>
        <v>8820</v>
      </c>
      <c r="P26" s="11">
        <f t="shared" si="18"/>
        <v>6174</v>
      </c>
      <c r="Q26" s="11">
        <f t="shared" si="19"/>
        <v>2646</v>
      </c>
      <c r="R26" s="11">
        <f>(10+35)*F26</f>
        <v>1260</v>
      </c>
      <c r="S26" s="11">
        <f t="shared" si="15"/>
        <v>0</v>
      </c>
      <c r="T26" s="11">
        <f t="shared" si="2"/>
        <v>10080</v>
      </c>
      <c r="U26" s="11">
        <f t="shared" si="10"/>
        <v>6174</v>
      </c>
      <c r="V26" s="12">
        <f t="shared" si="17"/>
        <v>741</v>
      </c>
      <c r="W26" s="12">
        <f t="shared" si="3"/>
        <v>67</v>
      </c>
      <c r="X26" s="11">
        <f t="shared" si="4"/>
        <v>9272</v>
      </c>
      <c r="Y26" s="13">
        <f t="shared" si="5"/>
        <v>110</v>
      </c>
      <c r="Z26" s="11"/>
      <c r="AA26" s="11"/>
      <c r="AB26" s="11"/>
      <c r="AC26" s="11">
        <f t="shared" si="16"/>
        <v>9162</v>
      </c>
      <c r="AE26" s="53">
        <f t="shared" si="21"/>
        <v>420</v>
      </c>
    </row>
    <row r="27" spans="1:31" ht="16.5" x14ac:dyDescent="0.3">
      <c r="A27" s="8">
        <v>25</v>
      </c>
      <c r="B27" s="9" t="s">
        <v>58</v>
      </c>
      <c r="C27" s="9"/>
      <c r="D27" s="9"/>
      <c r="E27" s="8"/>
      <c r="F27" s="9">
        <v>30</v>
      </c>
      <c r="G27" s="9">
        <f t="shared" si="6"/>
        <v>0</v>
      </c>
      <c r="H27" s="9">
        <v>1</v>
      </c>
      <c r="I27" s="15" t="s">
        <v>46</v>
      </c>
      <c r="J27" s="15"/>
      <c r="K27" s="23"/>
      <c r="L27" s="11">
        <v>325</v>
      </c>
      <c r="M27" s="11">
        <f t="shared" si="20"/>
        <v>35</v>
      </c>
      <c r="N27" s="11"/>
      <c r="O27" s="11">
        <f t="shared" si="9"/>
        <v>9750</v>
      </c>
      <c r="P27" s="11">
        <f t="shared" si="18"/>
        <v>6825</v>
      </c>
      <c r="Q27" s="11">
        <f t="shared" si="19"/>
        <v>2925</v>
      </c>
      <c r="R27" s="11">
        <f>(15+20)*F27</f>
        <v>1050</v>
      </c>
      <c r="S27" s="11">
        <f t="shared" si="15"/>
        <v>360</v>
      </c>
      <c r="T27" s="11">
        <f t="shared" si="2"/>
        <v>11160</v>
      </c>
      <c r="U27" s="11">
        <f t="shared" si="10"/>
        <v>6825</v>
      </c>
      <c r="V27" s="12">
        <f t="shared" si="17"/>
        <v>819</v>
      </c>
      <c r="W27" s="12">
        <f t="shared" si="3"/>
        <v>74</v>
      </c>
      <c r="X27" s="11">
        <f t="shared" si="4"/>
        <v>10267</v>
      </c>
      <c r="Y27" s="13">
        <f t="shared" si="5"/>
        <v>110</v>
      </c>
      <c r="Z27" s="11"/>
      <c r="AA27" s="11"/>
      <c r="AB27" s="11"/>
      <c r="AC27" s="11">
        <f t="shared" si="16"/>
        <v>10157</v>
      </c>
      <c r="AE27" s="53">
        <f t="shared" si="21"/>
        <v>465</v>
      </c>
    </row>
    <row r="28" spans="1:31" ht="16.5" x14ac:dyDescent="0.3">
      <c r="A28" s="8">
        <v>26</v>
      </c>
      <c r="B28" s="24" t="s">
        <v>59</v>
      </c>
      <c r="C28" s="9"/>
      <c r="D28" s="9"/>
      <c r="E28" s="8"/>
      <c r="F28" s="9">
        <v>30</v>
      </c>
      <c r="G28" s="9">
        <f t="shared" si="6"/>
        <v>0</v>
      </c>
      <c r="H28" s="9"/>
      <c r="I28" s="15" t="s">
        <v>46</v>
      </c>
      <c r="J28" s="15"/>
      <c r="K28" s="23"/>
      <c r="L28" s="11">
        <v>315</v>
      </c>
      <c r="M28" s="11">
        <f t="shared" si="20"/>
        <v>45</v>
      </c>
      <c r="N28" s="11"/>
      <c r="O28" s="11">
        <f t="shared" si="9"/>
        <v>9450</v>
      </c>
      <c r="P28" s="11">
        <f t="shared" si="18"/>
        <v>6615</v>
      </c>
      <c r="Q28" s="11">
        <f t="shared" si="19"/>
        <v>2835</v>
      </c>
      <c r="R28" s="11">
        <f>(10+35)*F28</f>
        <v>1350</v>
      </c>
      <c r="S28" s="11">
        <f t="shared" si="15"/>
        <v>0</v>
      </c>
      <c r="T28" s="11">
        <f t="shared" si="2"/>
        <v>10800</v>
      </c>
      <c r="U28" s="11">
        <f t="shared" si="10"/>
        <v>6615</v>
      </c>
      <c r="V28" s="12">
        <f t="shared" si="17"/>
        <v>794</v>
      </c>
      <c r="W28" s="12">
        <f t="shared" si="3"/>
        <v>71</v>
      </c>
      <c r="X28" s="11">
        <f t="shared" si="4"/>
        <v>9935</v>
      </c>
      <c r="Y28" s="13">
        <f t="shared" si="5"/>
        <v>110</v>
      </c>
      <c r="Z28" s="11"/>
      <c r="AA28" s="11"/>
      <c r="AB28" s="11"/>
      <c r="AC28" s="11">
        <f t="shared" si="16"/>
        <v>9825</v>
      </c>
      <c r="AE28" s="53">
        <f t="shared" si="21"/>
        <v>450</v>
      </c>
    </row>
    <row r="29" spans="1:31" ht="16.5" x14ac:dyDescent="0.3">
      <c r="A29" s="8">
        <v>27</v>
      </c>
      <c r="B29" s="24" t="s">
        <v>60</v>
      </c>
      <c r="C29" s="9"/>
      <c r="D29" s="9"/>
      <c r="E29" s="8"/>
      <c r="F29" s="9">
        <v>28</v>
      </c>
      <c r="G29" s="9">
        <f t="shared" si="6"/>
        <v>2</v>
      </c>
      <c r="H29" s="9"/>
      <c r="I29" s="15" t="s">
        <v>46</v>
      </c>
      <c r="J29" s="15"/>
      <c r="K29" s="23"/>
      <c r="L29" s="11">
        <v>315</v>
      </c>
      <c r="M29" s="11">
        <f t="shared" si="20"/>
        <v>45</v>
      </c>
      <c r="N29" s="11"/>
      <c r="O29" s="11">
        <f t="shared" si="9"/>
        <v>8820</v>
      </c>
      <c r="P29" s="11">
        <f t="shared" si="18"/>
        <v>6174</v>
      </c>
      <c r="Q29" s="11">
        <f t="shared" si="19"/>
        <v>2646</v>
      </c>
      <c r="R29" s="11">
        <f>(10+35)*F29</f>
        <v>1260</v>
      </c>
      <c r="S29" s="11">
        <f t="shared" si="15"/>
        <v>0</v>
      </c>
      <c r="T29" s="11">
        <f t="shared" si="2"/>
        <v>10080</v>
      </c>
      <c r="U29" s="11">
        <f t="shared" si="10"/>
        <v>6174</v>
      </c>
      <c r="V29" s="12">
        <f t="shared" si="17"/>
        <v>741</v>
      </c>
      <c r="W29" s="12">
        <f t="shared" si="3"/>
        <v>67</v>
      </c>
      <c r="X29" s="11">
        <f t="shared" si="4"/>
        <v>9272</v>
      </c>
      <c r="Y29" s="13">
        <f t="shared" si="5"/>
        <v>110</v>
      </c>
      <c r="Z29" s="25">
        <v>0</v>
      </c>
      <c r="AA29" s="11"/>
      <c r="AB29" s="11"/>
      <c r="AC29" s="11">
        <f t="shared" si="16"/>
        <v>9162</v>
      </c>
      <c r="AE29" s="53">
        <f t="shared" si="21"/>
        <v>420</v>
      </c>
    </row>
    <row r="30" spans="1:31" ht="16.5" x14ac:dyDescent="0.3">
      <c r="A30" s="8">
        <v>28</v>
      </c>
      <c r="B30" s="24" t="s">
        <v>61</v>
      </c>
      <c r="C30" s="9"/>
      <c r="D30" s="9"/>
      <c r="E30" s="8"/>
      <c r="F30" s="9">
        <v>29</v>
      </c>
      <c r="G30" s="9">
        <f t="shared" si="6"/>
        <v>1</v>
      </c>
      <c r="H30" s="9"/>
      <c r="I30" s="15" t="s">
        <v>44</v>
      </c>
      <c r="J30" s="15"/>
      <c r="K30" s="23"/>
      <c r="L30" s="11">
        <v>315</v>
      </c>
      <c r="M30" s="11">
        <f t="shared" si="20"/>
        <v>70</v>
      </c>
      <c r="N30" s="11"/>
      <c r="O30" s="11">
        <f t="shared" si="9"/>
        <v>9135</v>
      </c>
      <c r="P30" s="11">
        <f t="shared" si="18"/>
        <v>6394.5</v>
      </c>
      <c r="Q30" s="11">
        <f t="shared" si="19"/>
        <v>2740.5</v>
      </c>
      <c r="R30" s="11">
        <f>(25+45)*F30</f>
        <v>2030</v>
      </c>
      <c r="S30" s="11">
        <f t="shared" si="15"/>
        <v>0</v>
      </c>
      <c r="T30" s="11">
        <f t="shared" si="2"/>
        <v>11165</v>
      </c>
      <c r="U30" s="11">
        <f t="shared" si="10"/>
        <v>6394.5</v>
      </c>
      <c r="V30" s="12">
        <f t="shared" si="17"/>
        <v>767</v>
      </c>
      <c r="W30" s="12">
        <f t="shared" si="3"/>
        <v>69</v>
      </c>
      <c r="X30" s="11">
        <f t="shared" si="4"/>
        <v>10329</v>
      </c>
      <c r="Y30" s="13">
        <f t="shared" si="5"/>
        <v>110</v>
      </c>
      <c r="Z30" s="11"/>
      <c r="AA30" s="11"/>
      <c r="AB30" s="11"/>
      <c r="AC30" s="11">
        <f t="shared" si="16"/>
        <v>10219</v>
      </c>
      <c r="AE30" s="53">
        <f t="shared" si="21"/>
        <v>435</v>
      </c>
    </row>
    <row r="31" spans="1:31" ht="16.5" x14ac:dyDescent="0.3">
      <c r="A31" s="26">
        <v>29</v>
      </c>
      <c r="B31" s="24" t="s">
        <v>62</v>
      </c>
      <c r="C31" s="27"/>
      <c r="D31" s="9"/>
      <c r="E31" s="8"/>
      <c r="F31" s="9">
        <v>26</v>
      </c>
      <c r="G31" s="9">
        <f t="shared" si="6"/>
        <v>4</v>
      </c>
      <c r="H31" s="9"/>
      <c r="I31" s="15"/>
      <c r="J31" s="15"/>
      <c r="K31" s="23"/>
      <c r="L31" s="11">
        <v>315</v>
      </c>
      <c r="M31" s="11">
        <v>35</v>
      </c>
      <c r="N31" s="11"/>
      <c r="O31" s="11">
        <f t="shared" si="9"/>
        <v>8190</v>
      </c>
      <c r="P31" s="11">
        <f>O31*0.6</f>
        <v>4914</v>
      </c>
      <c r="Q31" s="11">
        <f>(O31)*0.4</f>
        <v>3276</v>
      </c>
      <c r="R31" s="11">
        <f>(35)*F31</f>
        <v>910</v>
      </c>
      <c r="S31" s="11">
        <f t="shared" si="15"/>
        <v>0</v>
      </c>
      <c r="T31" s="11">
        <f t="shared" si="2"/>
        <v>9100</v>
      </c>
      <c r="U31" s="11">
        <f t="shared" si="10"/>
        <v>4914</v>
      </c>
      <c r="V31" s="12">
        <f t="shared" si="17"/>
        <v>590</v>
      </c>
      <c r="W31" s="12">
        <f t="shared" si="3"/>
        <v>62</v>
      </c>
      <c r="X31" s="11">
        <f t="shared" si="4"/>
        <v>8448</v>
      </c>
      <c r="Y31" s="13">
        <f t="shared" si="5"/>
        <v>0</v>
      </c>
      <c r="Z31" s="11"/>
      <c r="AA31" s="11"/>
      <c r="AB31" s="11"/>
      <c r="AC31" s="11">
        <f t="shared" si="16"/>
        <v>8448</v>
      </c>
      <c r="AE31" s="53"/>
    </row>
    <row r="32" spans="1:31" ht="16.5" x14ac:dyDescent="0.3">
      <c r="A32" s="26">
        <v>30</v>
      </c>
      <c r="B32" s="24" t="s">
        <v>63</v>
      </c>
      <c r="C32" s="27"/>
      <c r="D32" s="9"/>
      <c r="E32" s="8"/>
      <c r="F32" s="9">
        <v>22</v>
      </c>
      <c r="G32" s="9">
        <f t="shared" si="6"/>
        <v>8</v>
      </c>
      <c r="H32" s="9"/>
      <c r="I32" s="15"/>
      <c r="J32" s="15"/>
      <c r="K32" s="23"/>
      <c r="L32" s="11">
        <v>315</v>
      </c>
      <c r="M32" s="11">
        <v>35</v>
      </c>
      <c r="N32" s="11"/>
      <c r="O32" s="11">
        <f t="shared" si="9"/>
        <v>6930</v>
      </c>
      <c r="P32" s="11">
        <f>O32*0.6</f>
        <v>4158</v>
      </c>
      <c r="Q32" s="11">
        <f>(O32)*0.4</f>
        <v>2772</v>
      </c>
      <c r="R32" s="11">
        <f>(35)*F32</f>
        <v>770</v>
      </c>
      <c r="S32" s="11">
        <f t="shared" si="15"/>
        <v>0</v>
      </c>
      <c r="T32" s="11">
        <f t="shared" si="2"/>
        <v>7700</v>
      </c>
      <c r="U32" s="11">
        <f t="shared" si="10"/>
        <v>4158</v>
      </c>
      <c r="V32" s="12">
        <f t="shared" si="17"/>
        <v>499</v>
      </c>
      <c r="W32" s="12">
        <f t="shared" si="3"/>
        <v>52</v>
      </c>
      <c r="X32" s="11">
        <f t="shared" si="4"/>
        <v>7149</v>
      </c>
      <c r="Y32" s="13">
        <f t="shared" si="5"/>
        <v>0</v>
      </c>
      <c r="Z32" s="16"/>
      <c r="AA32" s="11"/>
      <c r="AB32" s="11"/>
      <c r="AC32" s="11">
        <f t="shared" si="16"/>
        <v>7149</v>
      </c>
      <c r="AE32" s="53"/>
    </row>
    <row r="33" spans="1:31" ht="16.5" x14ac:dyDescent="0.3">
      <c r="A33" s="26">
        <v>31</v>
      </c>
      <c r="B33" s="24" t="s">
        <v>64</v>
      </c>
      <c r="C33" s="27"/>
      <c r="D33" s="9"/>
      <c r="E33" s="8"/>
      <c r="F33" s="9">
        <v>26</v>
      </c>
      <c r="G33" s="9">
        <f t="shared" si="6"/>
        <v>4</v>
      </c>
      <c r="H33" s="9"/>
      <c r="I33" s="15"/>
      <c r="J33" s="15"/>
      <c r="K33" s="23"/>
      <c r="L33" s="11">
        <v>320</v>
      </c>
      <c r="M33" s="11">
        <v>15</v>
      </c>
      <c r="N33" s="11"/>
      <c r="O33" s="11">
        <f t="shared" si="9"/>
        <v>8320</v>
      </c>
      <c r="P33" s="11">
        <f t="shared" ref="P33:P34" si="22">O33*0.7</f>
        <v>5824</v>
      </c>
      <c r="Q33" s="11">
        <f t="shared" ref="Q33:Q34" si="23">O33*0.3</f>
        <v>2496</v>
      </c>
      <c r="R33" s="11">
        <f>(15)*F33</f>
        <v>390</v>
      </c>
      <c r="S33" s="11">
        <f t="shared" si="15"/>
        <v>0</v>
      </c>
      <c r="T33" s="11">
        <f t="shared" si="2"/>
        <v>8710</v>
      </c>
      <c r="U33" s="11">
        <f t="shared" si="10"/>
        <v>5824</v>
      </c>
      <c r="V33" s="12">
        <f t="shared" si="17"/>
        <v>699</v>
      </c>
      <c r="W33" s="12">
        <f t="shared" si="3"/>
        <v>63</v>
      </c>
      <c r="X33" s="11">
        <f t="shared" si="4"/>
        <v>7948</v>
      </c>
      <c r="Y33" s="13">
        <f t="shared" si="5"/>
        <v>0</v>
      </c>
      <c r="Z33" s="11"/>
      <c r="AA33" s="11"/>
      <c r="AB33" s="11"/>
      <c r="AC33" s="11">
        <f t="shared" si="16"/>
        <v>7948</v>
      </c>
      <c r="AE33" s="53"/>
    </row>
    <row r="34" spans="1:31" ht="16.5" x14ac:dyDescent="0.3">
      <c r="A34" s="26">
        <v>32</v>
      </c>
      <c r="B34" s="24" t="s">
        <v>65</v>
      </c>
      <c r="C34" s="27"/>
      <c r="D34" s="9"/>
      <c r="E34" s="8"/>
      <c r="F34" s="9">
        <v>29</v>
      </c>
      <c r="G34" s="9">
        <f t="shared" si="6"/>
        <v>1</v>
      </c>
      <c r="H34" s="9"/>
      <c r="I34" s="15"/>
      <c r="J34" s="15"/>
      <c r="K34" s="23"/>
      <c r="L34" s="11">
        <v>320</v>
      </c>
      <c r="M34" s="11">
        <v>20</v>
      </c>
      <c r="N34" s="11"/>
      <c r="O34" s="11">
        <f t="shared" si="9"/>
        <v>9280</v>
      </c>
      <c r="P34" s="11">
        <f t="shared" si="22"/>
        <v>6496</v>
      </c>
      <c r="Q34" s="11">
        <f t="shared" si="23"/>
        <v>2784</v>
      </c>
      <c r="R34" s="11">
        <f>(20)*F34</f>
        <v>580</v>
      </c>
      <c r="S34" s="11">
        <f t="shared" si="15"/>
        <v>0</v>
      </c>
      <c r="T34" s="11">
        <f t="shared" si="2"/>
        <v>9860</v>
      </c>
      <c r="U34" s="11">
        <f t="shared" si="10"/>
        <v>6496</v>
      </c>
      <c r="V34" s="12">
        <f t="shared" si="17"/>
        <v>780</v>
      </c>
      <c r="W34" s="12">
        <f t="shared" si="3"/>
        <v>70</v>
      </c>
      <c r="X34" s="11">
        <f t="shared" si="4"/>
        <v>9010</v>
      </c>
      <c r="Y34" s="13">
        <f t="shared" si="5"/>
        <v>0</v>
      </c>
      <c r="Z34" s="11"/>
      <c r="AA34" s="11"/>
      <c r="AB34" s="11"/>
      <c r="AC34" s="11">
        <f t="shared" si="16"/>
        <v>9010</v>
      </c>
      <c r="AE34" s="53">
        <f t="shared" si="21"/>
        <v>435</v>
      </c>
    </row>
    <row r="35" spans="1:31" s="49" customFormat="1" ht="16.5" hidden="1" x14ac:dyDescent="0.3">
      <c r="A35" s="39">
        <v>33</v>
      </c>
      <c r="B35" s="40" t="s">
        <v>66</v>
      </c>
      <c r="C35" s="41"/>
      <c r="D35" s="42"/>
      <c r="E35" s="43"/>
      <c r="F35" s="42">
        <v>9</v>
      </c>
      <c r="G35" s="42">
        <f t="shared" si="6"/>
        <v>21</v>
      </c>
      <c r="H35" s="42"/>
      <c r="I35" s="44"/>
      <c r="J35" s="44"/>
      <c r="K35" s="45"/>
      <c r="L35" s="46">
        <v>320</v>
      </c>
      <c r="M35" s="46">
        <v>20</v>
      </c>
      <c r="N35" s="46"/>
      <c r="O35" s="46">
        <f t="shared" si="9"/>
        <v>2880</v>
      </c>
      <c r="P35" s="46">
        <f t="shared" si="18"/>
        <v>2015.9999999999998</v>
      </c>
      <c r="Q35" s="46">
        <f t="shared" si="19"/>
        <v>864</v>
      </c>
      <c r="R35" s="46">
        <f>(20)*F35</f>
        <v>180</v>
      </c>
      <c r="S35" s="46">
        <f t="shared" si="15"/>
        <v>0</v>
      </c>
      <c r="T35" s="46">
        <f t="shared" si="2"/>
        <v>3060</v>
      </c>
      <c r="U35" s="46">
        <f t="shared" si="10"/>
        <v>2015.9999999999998</v>
      </c>
      <c r="V35" s="47">
        <f t="shared" si="17"/>
        <v>242</v>
      </c>
      <c r="W35" s="47">
        <f t="shared" si="3"/>
        <v>22</v>
      </c>
      <c r="X35" s="46">
        <f t="shared" si="4"/>
        <v>2796</v>
      </c>
      <c r="Y35" s="48">
        <f t="shared" si="5"/>
        <v>0</v>
      </c>
      <c r="Z35" s="46"/>
      <c r="AA35" s="46"/>
      <c r="AB35" s="46"/>
      <c r="AC35" s="11">
        <f t="shared" si="16"/>
        <v>2796</v>
      </c>
    </row>
    <row r="36" spans="1:31" ht="15.75" x14ac:dyDescent="0.3">
      <c r="A36" s="8">
        <v>33</v>
      </c>
      <c r="B36" s="65" t="s">
        <v>67</v>
      </c>
      <c r="C36" s="66"/>
      <c r="D36" s="10"/>
      <c r="E36" s="9"/>
      <c r="F36" s="9">
        <v>25</v>
      </c>
      <c r="G36" s="9">
        <f t="shared" si="6"/>
        <v>5</v>
      </c>
      <c r="H36" s="9"/>
      <c r="I36" s="9"/>
      <c r="J36" s="11">
        <v>60000</v>
      </c>
      <c r="K36" s="11">
        <v>60000</v>
      </c>
      <c r="L36" s="11">
        <f>+K36/30</f>
        <v>2000</v>
      </c>
      <c r="M36" s="11">
        <v>0</v>
      </c>
      <c r="N36" s="11"/>
      <c r="O36" s="11">
        <f t="shared" si="9"/>
        <v>50000</v>
      </c>
      <c r="P36" s="11">
        <f t="shared" ref="P36:P38" si="24">O36*1</f>
        <v>50000</v>
      </c>
      <c r="Q36" s="11">
        <v>0</v>
      </c>
      <c r="R36" s="11">
        <v>0</v>
      </c>
      <c r="S36" s="11">
        <f t="shared" si="15"/>
        <v>0</v>
      </c>
      <c r="T36" s="11">
        <f t="shared" si="2"/>
        <v>50000</v>
      </c>
      <c r="U36" s="11">
        <v>0</v>
      </c>
      <c r="V36" s="12">
        <f t="shared" si="17"/>
        <v>0</v>
      </c>
      <c r="W36" s="12">
        <f t="shared" si="3"/>
        <v>0</v>
      </c>
      <c r="X36" s="11">
        <f t="shared" si="4"/>
        <v>50000</v>
      </c>
      <c r="Y36" s="13">
        <f t="shared" si="5"/>
        <v>200</v>
      </c>
      <c r="Z36" s="11"/>
      <c r="AA36" s="11"/>
      <c r="AB36" s="11"/>
      <c r="AC36" s="11">
        <f>X36-Y36</f>
        <v>49800</v>
      </c>
    </row>
    <row r="37" spans="1:31" ht="15.75" x14ac:dyDescent="0.3">
      <c r="A37" s="8">
        <v>34</v>
      </c>
      <c r="B37" s="10" t="s">
        <v>68</v>
      </c>
      <c r="C37" s="10"/>
      <c r="D37" s="10"/>
      <c r="E37" s="9"/>
      <c r="F37" s="9">
        <v>30</v>
      </c>
      <c r="G37" s="9">
        <f t="shared" si="6"/>
        <v>0</v>
      </c>
      <c r="H37" s="9"/>
      <c r="I37" s="9"/>
      <c r="J37" s="11">
        <v>21500</v>
      </c>
      <c r="K37" s="11">
        <v>21500</v>
      </c>
      <c r="L37" s="11">
        <f t="shared" ref="L37:L38" si="25">+K37/30</f>
        <v>716.66666666666663</v>
      </c>
      <c r="M37" s="11">
        <v>0</v>
      </c>
      <c r="N37" s="11"/>
      <c r="O37" s="11">
        <f t="shared" si="9"/>
        <v>21500</v>
      </c>
      <c r="P37" s="11">
        <f t="shared" si="24"/>
        <v>21500</v>
      </c>
      <c r="Q37" s="11">
        <v>0</v>
      </c>
      <c r="R37" s="11">
        <v>0</v>
      </c>
      <c r="S37" s="11">
        <f t="shared" si="15"/>
        <v>0</v>
      </c>
      <c r="T37" s="11">
        <f t="shared" si="2"/>
        <v>21500</v>
      </c>
      <c r="U37" s="11">
        <v>0</v>
      </c>
      <c r="V37" s="12">
        <f t="shared" si="17"/>
        <v>0</v>
      </c>
      <c r="W37" s="12">
        <f>IF(J37&lt;=21000,ROUNDUP(O37*0.75%,0),0)</f>
        <v>0</v>
      </c>
      <c r="X37" s="11">
        <f t="shared" si="4"/>
        <v>21500</v>
      </c>
      <c r="Y37" s="13">
        <f t="shared" si="5"/>
        <v>130</v>
      </c>
      <c r="Z37" s="11"/>
      <c r="AA37" s="11"/>
      <c r="AB37" s="11"/>
      <c r="AC37" s="11">
        <f>X37-Y37</f>
        <v>21370</v>
      </c>
    </row>
    <row r="38" spans="1:31" ht="15.75" x14ac:dyDescent="0.3">
      <c r="A38" s="8">
        <v>35</v>
      </c>
      <c r="B38" s="10" t="s">
        <v>69</v>
      </c>
      <c r="C38" s="10"/>
      <c r="D38" s="10"/>
      <c r="E38" s="9"/>
      <c r="F38" s="9">
        <v>30</v>
      </c>
      <c r="G38" s="9">
        <f t="shared" si="6"/>
        <v>0</v>
      </c>
      <c r="H38" s="9"/>
      <c r="I38" s="9"/>
      <c r="J38" s="11">
        <v>100000</v>
      </c>
      <c r="K38" s="11">
        <v>100000</v>
      </c>
      <c r="L38" s="11">
        <f t="shared" si="25"/>
        <v>3333.3333333333335</v>
      </c>
      <c r="M38" s="11">
        <v>0</v>
      </c>
      <c r="N38" s="11"/>
      <c r="O38" s="11">
        <f t="shared" si="9"/>
        <v>100000</v>
      </c>
      <c r="P38" s="11">
        <f t="shared" si="24"/>
        <v>100000</v>
      </c>
      <c r="Q38" s="11">
        <v>0</v>
      </c>
      <c r="R38" s="11">
        <v>0</v>
      </c>
      <c r="S38" s="11">
        <f t="shared" si="15"/>
        <v>0</v>
      </c>
      <c r="T38" s="11">
        <f t="shared" si="2"/>
        <v>100000</v>
      </c>
      <c r="U38" s="11">
        <v>0</v>
      </c>
      <c r="V38" s="12">
        <v>0</v>
      </c>
      <c r="W38" s="12">
        <f t="shared" si="3"/>
        <v>0</v>
      </c>
      <c r="X38" s="11">
        <f t="shared" si="4"/>
        <v>100000</v>
      </c>
      <c r="Y38" s="13"/>
      <c r="Z38" s="11"/>
      <c r="AA38" s="11"/>
      <c r="AB38" s="11">
        <v>20000</v>
      </c>
      <c r="AC38" s="11">
        <f>X38-AB38</f>
        <v>80000</v>
      </c>
    </row>
    <row r="39" spans="1:31" ht="16.5" x14ac:dyDescent="0.3">
      <c r="A39" s="28" t="s">
        <v>70</v>
      </c>
      <c r="B39" s="28"/>
      <c r="C39" s="28"/>
      <c r="D39" s="28"/>
      <c r="E39" s="29"/>
      <c r="F39" s="28">
        <f>SUM(F3:F38)</f>
        <v>986</v>
      </c>
      <c r="G39" s="9">
        <f>SUM(G3:G38)</f>
        <v>94</v>
      </c>
      <c r="H39" s="9">
        <f>SUM(H3:H38)</f>
        <v>12</v>
      </c>
      <c r="I39" s="15"/>
      <c r="J39" s="15"/>
      <c r="K39" s="30"/>
      <c r="L39" s="31"/>
      <c r="M39" s="31"/>
      <c r="N39" s="31"/>
      <c r="O39" s="32">
        <f t="shared" ref="O39:Z39" si="26">SUM(O3:O38)</f>
        <v>550150.66666666663</v>
      </c>
      <c r="P39" s="32">
        <v>450715</v>
      </c>
      <c r="Q39" s="32">
        <f t="shared" si="26"/>
        <v>97419.266666666663</v>
      </c>
      <c r="R39" s="32">
        <f t="shared" si="26"/>
        <v>60272.333333333336</v>
      </c>
      <c r="S39" s="32">
        <f t="shared" si="26"/>
        <v>7930</v>
      </c>
      <c r="T39" s="32">
        <f t="shared" si="26"/>
        <v>618353</v>
      </c>
      <c r="U39" s="32">
        <f t="shared" si="26"/>
        <v>198064.73333333334</v>
      </c>
      <c r="V39" s="32">
        <f>SUM(V3:V38)</f>
        <v>23768</v>
      </c>
      <c r="W39" s="32">
        <f t="shared" si="26"/>
        <v>1905</v>
      </c>
      <c r="X39" s="32">
        <f>SUM(X3:X38)</f>
        <v>592680</v>
      </c>
      <c r="Y39" s="32">
        <f t="shared" si="26"/>
        <v>3110</v>
      </c>
      <c r="Z39" s="32">
        <f t="shared" si="26"/>
        <v>0</v>
      </c>
      <c r="AA39" s="32">
        <f>SUM(AA3:AA30)</f>
        <v>0</v>
      </c>
      <c r="AB39" s="32">
        <f>SUM(AB3:AB38)</f>
        <v>20000</v>
      </c>
      <c r="AC39" s="32">
        <v>566774</v>
      </c>
    </row>
    <row r="40" spans="1:31" ht="15.75" x14ac:dyDescent="0.3">
      <c r="A40" s="33"/>
      <c r="B40" s="34"/>
      <c r="C40" s="34"/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5"/>
      <c r="Q40" s="33"/>
      <c r="R40" s="33"/>
      <c r="S40" s="33"/>
      <c r="T40" s="33"/>
      <c r="U40" s="33"/>
      <c r="V40" s="33"/>
      <c r="W40" s="33"/>
      <c r="X40" s="33"/>
      <c r="Y40" s="36"/>
      <c r="Z40" s="33"/>
      <c r="AA40" s="33"/>
      <c r="AB40" s="33"/>
      <c r="AC40" s="35" t="s">
        <v>70</v>
      </c>
    </row>
  </sheetData>
  <mergeCells count="2">
    <mergeCell ref="A1:AC1"/>
    <mergeCell ref="B36:C36"/>
  </mergeCells>
  <pageMargins left="0.25" right="0.25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0"/>
  <sheetViews>
    <sheetView zoomScale="98" zoomScaleNormal="98" workbookViewId="0">
      <pane xSplit="5" ySplit="2" topLeftCell="F9" activePane="bottomRight" state="frozen"/>
      <selection pane="topRight" activeCell="F1" sqref="F1"/>
      <selection pane="bottomLeft" activeCell="A3" sqref="A3"/>
      <selection pane="bottomRight" activeCell="S15" sqref="S15"/>
    </sheetView>
  </sheetViews>
  <sheetFormatPr defaultRowHeight="15" x14ac:dyDescent="0.25"/>
  <cols>
    <col min="1" max="1" width="4.5703125" customWidth="1"/>
    <col min="2" max="2" width="21.7109375" customWidth="1"/>
    <col min="3" max="4" width="0" hidden="1" customWidth="1"/>
    <col min="5" max="5" width="0.28515625" hidden="1" customWidth="1"/>
    <col min="6" max="6" width="8.140625" customWidth="1"/>
    <col min="8" max="8" width="7.140625" customWidth="1"/>
    <col min="9" max="9" width="0" hidden="1" customWidth="1"/>
    <col min="15" max="15" width="10" bestFit="1" customWidth="1"/>
    <col min="16" max="16" width="10.5703125" customWidth="1"/>
    <col min="17" max="17" width="10" bestFit="1" customWidth="1"/>
    <col min="20" max="20" width="10.5703125" customWidth="1"/>
    <col min="21" max="21" width="11.140625" bestFit="1" customWidth="1"/>
    <col min="24" max="24" width="11.5703125" customWidth="1"/>
    <col min="27" max="27" width="0" hidden="1" customWidth="1"/>
    <col min="29" max="29" width="10.140625" customWidth="1"/>
  </cols>
  <sheetData>
    <row r="1" spans="1:29" x14ac:dyDescent="0.25">
      <c r="A1" s="62" t="s">
        <v>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</row>
    <row r="2" spans="1:29" ht="76.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4" t="s">
        <v>18</v>
      </c>
      <c r="T2" s="6" t="s">
        <v>19</v>
      </c>
      <c r="U2" s="3" t="s">
        <v>20</v>
      </c>
      <c r="V2" s="1" t="s">
        <v>21</v>
      </c>
      <c r="W2" s="4" t="s">
        <v>22</v>
      </c>
      <c r="X2" s="4" t="s">
        <v>23</v>
      </c>
      <c r="Y2" s="7" t="s">
        <v>24</v>
      </c>
      <c r="Z2" s="6" t="s">
        <v>25</v>
      </c>
      <c r="AA2" s="6" t="s">
        <v>26</v>
      </c>
      <c r="AB2" s="6" t="s">
        <v>27</v>
      </c>
      <c r="AC2" s="50" t="s">
        <v>28</v>
      </c>
    </row>
    <row r="3" spans="1:29" ht="15.75" x14ac:dyDescent="0.3">
      <c r="A3" s="8">
        <v>1</v>
      </c>
      <c r="B3" s="9" t="s">
        <v>29</v>
      </c>
      <c r="C3" s="10"/>
      <c r="D3" s="10"/>
      <c r="E3" s="9"/>
      <c r="F3" s="9">
        <v>31</v>
      </c>
      <c r="G3" s="9">
        <f>31-F3</f>
        <v>0</v>
      </c>
      <c r="H3" s="9">
        <v>3</v>
      </c>
      <c r="I3" s="9"/>
      <c r="J3" s="8">
        <v>34000</v>
      </c>
      <c r="K3" s="11">
        <f>25000+5000</f>
        <v>30000</v>
      </c>
      <c r="L3" s="11">
        <f>+K3/31</f>
        <v>967.74193548387098</v>
      </c>
      <c r="M3" s="11">
        <f>N3/31</f>
        <v>129.03225806451613</v>
      </c>
      <c r="N3" s="11">
        <f>2000+2000</f>
        <v>4000</v>
      </c>
      <c r="O3" s="11">
        <f>L3*F3</f>
        <v>30000</v>
      </c>
      <c r="P3" s="11">
        <f t="shared" ref="P3" si="0">O3*1</f>
        <v>30000</v>
      </c>
      <c r="Q3" s="11">
        <v>0</v>
      </c>
      <c r="R3" s="11">
        <f>(2000+2000)/31*F3</f>
        <v>4000</v>
      </c>
      <c r="S3" s="11">
        <f t="shared" ref="S3:S9" si="1">(L3+M3)*H3</f>
        <v>3290.322580645161</v>
      </c>
      <c r="T3" s="11">
        <f t="shared" ref="T3:T38" si="2">O3+((R3)+S3)</f>
        <v>37290.322580645159</v>
      </c>
      <c r="U3" s="11">
        <v>0</v>
      </c>
      <c r="V3" s="12">
        <f>IF(K3&lt;=15000,ROUND(U3*12%,0),0)</f>
        <v>0</v>
      </c>
      <c r="W3" s="12">
        <f t="shared" ref="W3:W38" si="3">IF(J3&lt;=21000,ROUNDUP(O3*0.75%,0),0)</f>
        <v>0</v>
      </c>
      <c r="X3" s="11">
        <f t="shared" ref="X3:X38" si="4">T3-V3-W3</f>
        <v>37290.322580645159</v>
      </c>
      <c r="Y3" s="13">
        <f t="shared" ref="Y3:Y37" si="5">IF(T3&gt;40000,200,IF(T3&gt;25000,150,IF(T3&gt;15000,130,IF(T3&gt;10000,110,IF(T3&gt;0,0)))))</f>
        <v>150</v>
      </c>
      <c r="Z3" s="11"/>
      <c r="AA3" s="11"/>
      <c r="AB3" s="11"/>
      <c r="AC3" s="11">
        <f>T3-V3-W3-Y3-Z3-AB3</f>
        <v>37140.322580645159</v>
      </c>
    </row>
    <row r="4" spans="1:29" s="38" customFormat="1" ht="16.5" x14ac:dyDescent="0.3">
      <c r="A4" s="8">
        <v>2</v>
      </c>
      <c r="B4" s="10" t="s">
        <v>30</v>
      </c>
      <c r="C4" s="10"/>
      <c r="D4" s="10"/>
      <c r="E4" s="14"/>
      <c r="F4" s="9">
        <v>26</v>
      </c>
      <c r="G4" s="9">
        <f t="shared" ref="G4:G38" si="6">31-F4</f>
        <v>5</v>
      </c>
      <c r="H4" s="9">
        <v>3</v>
      </c>
      <c r="I4" s="9"/>
      <c r="J4" s="8">
        <v>48000</v>
      </c>
      <c r="K4" s="11">
        <f>30000+3000+2000</f>
        <v>35000</v>
      </c>
      <c r="L4" s="11">
        <f t="shared" ref="L4:L13" si="7">+K4/31</f>
        <v>1129.0322580645161</v>
      </c>
      <c r="M4" s="11">
        <f t="shared" ref="M4:M13" si="8">N4/31</f>
        <v>419.35483870967744</v>
      </c>
      <c r="N4" s="11">
        <f>7500+2500+3000</f>
        <v>13000</v>
      </c>
      <c r="O4" s="11">
        <f t="shared" ref="O4:O38" si="9">L4*F4</f>
        <v>29354.838709677417</v>
      </c>
      <c r="P4" s="11">
        <f>O4*1</f>
        <v>29354.838709677417</v>
      </c>
      <c r="Q4" s="11">
        <v>0</v>
      </c>
      <c r="R4" s="11">
        <f>(2500+5000+2500+3000)/31*F4</f>
        <v>10903.225806451614</v>
      </c>
      <c r="S4" s="11">
        <f t="shared" si="1"/>
        <v>4645.1612903225814</v>
      </c>
      <c r="T4" s="11">
        <f t="shared" si="2"/>
        <v>44903.225806451614</v>
      </c>
      <c r="U4" s="11">
        <v>0</v>
      </c>
      <c r="V4" s="12">
        <f>IF(K4&lt;=15000,ROUND(U4*12%,0),0)</f>
        <v>0</v>
      </c>
      <c r="W4" s="12">
        <f t="shared" si="3"/>
        <v>0</v>
      </c>
      <c r="X4" s="11">
        <f t="shared" si="4"/>
        <v>44903.225806451614</v>
      </c>
      <c r="Y4" s="13">
        <f t="shared" si="5"/>
        <v>200</v>
      </c>
      <c r="Z4" s="11"/>
      <c r="AA4" s="11"/>
      <c r="AB4" s="11"/>
      <c r="AC4" s="11">
        <f>T4-V4-W4-Y4-Z4-AB4</f>
        <v>44703.225806451614</v>
      </c>
    </row>
    <row r="5" spans="1:29" s="38" customFormat="1" ht="16.5" x14ac:dyDescent="0.3">
      <c r="A5" s="8">
        <v>3</v>
      </c>
      <c r="B5" s="9" t="s">
        <v>31</v>
      </c>
      <c r="C5" s="10"/>
      <c r="D5" s="10"/>
      <c r="E5" s="14"/>
      <c r="F5" s="9">
        <v>31</v>
      </c>
      <c r="G5" s="9">
        <f t="shared" si="6"/>
        <v>0</v>
      </c>
      <c r="H5" s="9">
        <v>3</v>
      </c>
      <c r="I5" s="9"/>
      <c r="J5" s="8">
        <v>25200</v>
      </c>
      <c r="K5" s="11">
        <v>23200</v>
      </c>
      <c r="L5" s="11">
        <f t="shared" si="7"/>
        <v>748.38709677419354</v>
      </c>
      <c r="M5" s="11">
        <f t="shared" si="8"/>
        <v>64.516129032258064</v>
      </c>
      <c r="N5" s="11">
        <v>2000</v>
      </c>
      <c r="O5" s="11">
        <f t="shared" si="9"/>
        <v>23200</v>
      </c>
      <c r="P5" s="11">
        <f>O5*54%</f>
        <v>12528</v>
      </c>
      <c r="Q5" s="11">
        <f>O5*0.46</f>
        <v>10672</v>
      </c>
      <c r="R5" s="11">
        <f>(2000)/31*F5</f>
        <v>2000</v>
      </c>
      <c r="S5" s="11">
        <f t="shared" si="1"/>
        <v>2438.7096774193546</v>
      </c>
      <c r="T5" s="11">
        <f t="shared" si="2"/>
        <v>27638.709677419356</v>
      </c>
      <c r="U5" s="11">
        <f t="shared" ref="U5:U35" si="10">+P5</f>
        <v>12528</v>
      </c>
      <c r="V5" s="12">
        <f>IF(U5&lt;=15000,ROUND(U5*12%,0),0)</f>
        <v>1503</v>
      </c>
      <c r="W5" s="12">
        <f t="shared" si="3"/>
        <v>0</v>
      </c>
      <c r="X5" s="11">
        <f t="shared" si="4"/>
        <v>26135.709677419356</v>
      </c>
      <c r="Y5" s="13">
        <f t="shared" si="5"/>
        <v>150</v>
      </c>
      <c r="Z5" s="11"/>
      <c r="AA5" s="11"/>
      <c r="AB5" s="11"/>
      <c r="AC5" s="11">
        <f>T5-V5-W5-Y5-Z5-AB5-AA5</f>
        <v>25985.709677419356</v>
      </c>
    </row>
    <row r="6" spans="1:29" s="38" customFormat="1" ht="16.5" x14ac:dyDescent="0.3">
      <c r="A6" s="8">
        <v>4</v>
      </c>
      <c r="B6" s="10" t="s">
        <v>32</v>
      </c>
      <c r="C6" s="10"/>
      <c r="D6" s="10"/>
      <c r="E6" s="9" t="s">
        <v>33</v>
      </c>
      <c r="F6" s="9">
        <v>28</v>
      </c>
      <c r="G6" s="9">
        <f t="shared" si="6"/>
        <v>3</v>
      </c>
      <c r="H6" s="9"/>
      <c r="I6" s="15"/>
      <c r="J6" s="8">
        <v>25000</v>
      </c>
      <c r="K6" s="11">
        <v>23000</v>
      </c>
      <c r="L6" s="11">
        <f t="shared" si="7"/>
        <v>741.93548387096769</v>
      </c>
      <c r="M6" s="11">
        <f t="shared" si="8"/>
        <v>64.516129032258064</v>
      </c>
      <c r="N6" s="11">
        <v>2000</v>
      </c>
      <c r="O6" s="11">
        <f>L6*F6</f>
        <v>20774.193548387095</v>
      </c>
      <c r="P6" s="11">
        <f t="shared" ref="P6" si="11">O6*1</f>
        <v>20774.193548387095</v>
      </c>
      <c r="Q6" s="11">
        <v>0</v>
      </c>
      <c r="R6" s="11">
        <f>(2000)/31*F6</f>
        <v>1806.4516129032259</v>
      </c>
      <c r="S6" s="11">
        <f>(L6+M6)*H6</f>
        <v>0</v>
      </c>
      <c r="T6" s="11">
        <f t="shared" si="2"/>
        <v>22580.645161290322</v>
      </c>
      <c r="U6" s="11">
        <v>0</v>
      </c>
      <c r="V6" s="12">
        <f t="shared" ref="V6" si="12">IF(K6&lt;=15000,ROUND(U6*12%,0),0)</f>
        <v>0</v>
      </c>
      <c r="W6" s="12">
        <f t="shared" si="3"/>
        <v>0</v>
      </c>
      <c r="X6" s="11">
        <f t="shared" si="4"/>
        <v>22580.645161290322</v>
      </c>
      <c r="Y6" s="13">
        <f t="shared" si="5"/>
        <v>130</v>
      </c>
      <c r="Z6" s="11">
        <v>3000</v>
      </c>
      <c r="AA6" s="11"/>
      <c r="AB6" s="11"/>
      <c r="AC6" s="11">
        <f t="shared" ref="AC6" si="13">T6-V6-W6-Y6-Z6-AB6</f>
        <v>19450.645161290322</v>
      </c>
    </row>
    <row r="7" spans="1:29" s="49" customFormat="1" ht="16.5" x14ac:dyDescent="0.3">
      <c r="A7" s="43">
        <v>5</v>
      </c>
      <c r="B7" s="51" t="s">
        <v>34</v>
      </c>
      <c r="C7" s="51"/>
      <c r="D7" s="51"/>
      <c r="E7" s="42" t="s">
        <v>33</v>
      </c>
      <c r="F7" s="42">
        <v>0</v>
      </c>
      <c r="G7" s="42">
        <f t="shared" si="6"/>
        <v>31</v>
      </c>
      <c r="H7" s="42"/>
      <c r="I7" s="44"/>
      <c r="J7" s="43">
        <v>20100</v>
      </c>
      <c r="K7" s="46">
        <v>18100</v>
      </c>
      <c r="L7" s="46">
        <f t="shared" si="7"/>
        <v>583.87096774193549</v>
      </c>
      <c r="M7" s="46">
        <f t="shared" si="8"/>
        <v>64.516129032258064</v>
      </c>
      <c r="N7" s="46">
        <v>2000</v>
      </c>
      <c r="O7" s="46">
        <f>L7*F7</f>
        <v>0</v>
      </c>
      <c r="P7" s="46">
        <f>O7*0.6</f>
        <v>0</v>
      </c>
      <c r="Q7" s="46">
        <f>O7*0.4</f>
        <v>0</v>
      </c>
      <c r="R7" s="46">
        <f>(2000)/31*F7</f>
        <v>0</v>
      </c>
      <c r="S7" s="46">
        <f>(L7+M7)*H7</f>
        <v>0</v>
      </c>
      <c r="T7" s="46">
        <f t="shared" si="2"/>
        <v>0</v>
      </c>
      <c r="U7" s="46">
        <f t="shared" si="10"/>
        <v>0</v>
      </c>
      <c r="V7" s="47">
        <f>IF(U7&lt;=15000,ROUND(U7*12%,0),0)</f>
        <v>0</v>
      </c>
      <c r="W7" s="47">
        <f>IF(J7&lt;=21000,ROUNDUP(O7*0.75%,0),0)</f>
        <v>0</v>
      </c>
      <c r="X7" s="46">
        <f t="shared" si="4"/>
        <v>0</v>
      </c>
      <c r="Y7" s="48" t="b">
        <f t="shared" si="5"/>
        <v>0</v>
      </c>
      <c r="Z7" s="52"/>
      <c r="AA7" s="46"/>
      <c r="AB7" s="46"/>
      <c r="AC7" s="46">
        <f>T7-V7-W7-Y7-Z7-AB7</f>
        <v>0</v>
      </c>
    </row>
    <row r="8" spans="1:29" s="38" customFormat="1" ht="16.5" x14ac:dyDescent="0.3">
      <c r="A8" s="8">
        <v>6</v>
      </c>
      <c r="B8" s="10" t="s">
        <v>35</v>
      </c>
      <c r="C8" s="10"/>
      <c r="D8" s="10"/>
      <c r="E8" s="9" t="s">
        <v>33</v>
      </c>
      <c r="F8" s="9">
        <v>31</v>
      </c>
      <c r="G8" s="9">
        <f t="shared" si="6"/>
        <v>0</v>
      </c>
      <c r="H8" s="9"/>
      <c r="I8" s="15"/>
      <c r="J8" s="8">
        <v>17950</v>
      </c>
      <c r="K8" s="11">
        <f>12000+1000</f>
        <v>13000</v>
      </c>
      <c r="L8" s="11">
        <f t="shared" si="7"/>
        <v>419.35483870967744</v>
      </c>
      <c r="M8" s="11">
        <f t="shared" si="8"/>
        <v>159.67741935483872</v>
      </c>
      <c r="N8" s="11">
        <f>2000+1000+1000+950</f>
        <v>4950</v>
      </c>
      <c r="O8" s="11">
        <f t="shared" si="9"/>
        <v>13000</v>
      </c>
      <c r="P8" s="11">
        <f>O8*0.7</f>
        <v>9100</v>
      </c>
      <c r="Q8" s="11">
        <f>O8*0.3</f>
        <v>3900</v>
      </c>
      <c r="R8" s="11">
        <f>(1000+1000+1000+1000+950)/31*F8</f>
        <v>4950</v>
      </c>
      <c r="S8" s="11">
        <f t="shared" si="1"/>
        <v>0</v>
      </c>
      <c r="T8" s="11">
        <f t="shared" si="2"/>
        <v>17950</v>
      </c>
      <c r="U8" s="11">
        <f t="shared" si="10"/>
        <v>9100</v>
      </c>
      <c r="V8" s="12">
        <f>IF(K8&lt;=15000,ROUND(U8*12%,0),0)</f>
        <v>1092</v>
      </c>
      <c r="W8" s="12">
        <f t="shared" si="3"/>
        <v>98</v>
      </c>
      <c r="X8" s="11">
        <f t="shared" si="4"/>
        <v>16760</v>
      </c>
      <c r="Y8" s="13">
        <f t="shared" si="5"/>
        <v>130</v>
      </c>
      <c r="Z8" s="16"/>
      <c r="AA8" s="11"/>
      <c r="AB8" s="11"/>
      <c r="AC8" s="11">
        <f t="shared" ref="AC8:AC9" si="14">T8-V8-W8-Y8-Z8-AB8</f>
        <v>16630</v>
      </c>
    </row>
    <row r="9" spans="1:29" ht="16.5" x14ac:dyDescent="0.3">
      <c r="A9" s="8">
        <v>7</v>
      </c>
      <c r="B9" s="10" t="s">
        <v>36</v>
      </c>
      <c r="C9" s="17"/>
      <c r="D9" s="17"/>
      <c r="E9" s="18" t="s">
        <v>33</v>
      </c>
      <c r="F9" s="9">
        <v>27</v>
      </c>
      <c r="G9" s="9">
        <f t="shared" si="6"/>
        <v>4</v>
      </c>
      <c r="H9" s="18"/>
      <c r="I9" s="19"/>
      <c r="J9" s="8">
        <v>13500</v>
      </c>
      <c r="K9" s="20">
        <v>10500</v>
      </c>
      <c r="L9" s="11">
        <f t="shared" si="7"/>
        <v>338.70967741935482</v>
      </c>
      <c r="M9" s="11">
        <f t="shared" si="8"/>
        <v>96.774193548387103</v>
      </c>
      <c r="N9" s="20">
        <f>1500+1500</f>
        <v>3000</v>
      </c>
      <c r="O9" s="20">
        <f t="shared" si="9"/>
        <v>9145.1612903225796</v>
      </c>
      <c r="P9" s="11">
        <f>O9*0.7</f>
        <v>6401.612903225805</v>
      </c>
      <c r="Q9" s="11">
        <f>O9*0.3</f>
        <v>2743.5483870967737</v>
      </c>
      <c r="R9" s="11">
        <f>(500+1000+1500)/31*F9</f>
        <v>2612.9032258064517</v>
      </c>
      <c r="S9" s="11">
        <f t="shared" si="1"/>
        <v>0</v>
      </c>
      <c r="T9" s="11">
        <f t="shared" si="2"/>
        <v>11758.06451612903</v>
      </c>
      <c r="U9" s="20">
        <f t="shared" si="10"/>
        <v>6401.612903225805</v>
      </c>
      <c r="V9" s="12">
        <f>IF(K9&lt;=15000,ROUND(U9*12%,0),0)</f>
        <v>768</v>
      </c>
      <c r="W9" s="12">
        <f t="shared" si="3"/>
        <v>69</v>
      </c>
      <c r="X9" s="11">
        <f t="shared" si="4"/>
        <v>10921.06451612903</v>
      </c>
      <c r="Y9" s="13">
        <f t="shared" si="5"/>
        <v>110</v>
      </c>
      <c r="Z9" s="21"/>
      <c r="AA9" s="20"/>
      <c r="AB9" s="20"/>
      <c r="AC9" s="11">
        <f t="shared" si="14"/>
        <v>10811.06451612903</v>
      </c>
    </row>
    <row r="10" spans="1:29" s="38" customFormat="1" ht="16.5" x14ac:dyDescent="0.3">
      <c r="A10" s="8">
        <v>8</v>
      </c>
      <c r="B10" s="10" t="s">
        <v>37</v>
      </c>
      <c r="C10" s="10"/>
      <c r="D10" s="10"/>
      <c r="E10" s="8"/>
      <c r="F10" s="9">
        <v>26</v>
      </c>
      <c r="G10" s="9">
        <f t="shared" si="6"/>
        <v>5</v>
      </c>
      <c r="H10" s="9"/>
      <c r="I10" s="15"/>
      <c r="J10" s="8">
        <v>21000</v>
      </c>
      <c r="K10" s="11">
        <f>15000+1000+1000</f>
        <v>17000</v>
      </c>
      <c r="L10" s="11">
        <f t="shared" si="7"/>
        <v>548.38709677419354</v>
      </c>
      <c r="M10" s="11">
        <f t="shared" si="8"/>
        <v>129.03225806451613</v>
      </c>
      <c r="N10" s="11">
        <f>2000+2000</f>
        <v>4000</v>
      </c>
      <c r="O10" s="11">
        <f t="shared" si="9"/>
        <v>14258.064516129032</v>
      </c>
      <c r="P10" s="11">
        <f>O10*0.7</f>
        <v>9980.645161290322</v>
      </c>
      <c r="Q10" s="11">
        <f>O10*0.3</f>
        <v>4277.4193548387093</v>
      </c>
      <c r="R10" s="11">
        <f>(1000+1000+2000)/31*F10</f>
        <v>3354.8387096774195</v>
      </c>
      <c r="S10" s="11">
        <f>L10*H10</f>
        <v>0</v>
      </c>
      <c r="T10" s="11">
        <f t="shared" si="2"/>
        <v>17612.903225806451</v>
      </c>
      <c r="U10" s="11">
        <f t="shared" si="10"/>
        <v>9980.645161290322</v>
      </c>
      <c r="V10" s="12">
        <f>IF(U10&lt;=15000,ROUND(U10*12%,0),0)</f>
        <v>1198</v>
      </c>
      <c r="W10" s="12">
        <f>IF(J10&lt;=21000,ROUNDUP(O10*0.75%,0),0)</f>
        <v>107</v>
      </c>
      <c r="X10" s="11">
        <f t="shared" si="4"/>
        <v>16307.903225806451</v>
      </c>
      <c r="Y10" s="13">
        <f t="shared" si="5"/>
        <v>130</v>
      </c>
      <c r="Z10" s="37"/>
      <c r="AA10" s="11"/>
      <c r="AB10" s="11"/>
      <c r="AC10" s="11">
        <f>T10-V10-W10-Y10-Z10-AB10-AA10</f>
        <v>16177.903225806451</v>
      </c>
    </row>
    <row r="11" spans="1:29" s="38" customFormat="1" ht="16.5" x14ac:dyDescent="0.3">
      <c r="A11" s="8">
        <v>9</v>
      </c>
      <c r="B11" s="10" t="s">
        <v>38</v>
      </c>
      <c r="C11" s="10"/>
      <c r="D11" s="10"/>
      <c r="E11" s="14"/>
      <c r="F11" s="9">
        <v>31</v>
      </c>
      <c r="G11" s="9">
        <f t="shared" si="6"/>
        <v>0</v>
      </c>
      <c r="H11" s="9"/>
      <c r="I11" s="9"/>
      <c r="J11" s="8">
        <v>10280</v>
      </c>
      <c r="K11" s="11">
        <v>10280</v>
      </c>
      <c r="L11" s="11">
        <f t="shared" si="7"/>
        <v>331.61290322580646</v>
      </c>
      <c r="M11" s="11">
        <f t="shared" si="8"/>
        <v>0</v>
      </c>
      <c r="N11" s="11"/>
      <c r="O11" s="11">
        <f t="shared" si="9"/>
        <v>10280</v>
      </c>
      <c r="P11" s="11">
        <f>O11*0.6</f>
        <v>6168</v>
      </c>
      <c r="Q11" s="11">
        <f>O11*0.4</f>
        <v>4112</v>
      </c>
      <c r="R11" s="11"/>
      <c r="S11" s="11">
        <f t="shared" ref="S11:S38" si="15">(L11+M11)*H11</f>
        <v>0</v>
      </c>
      <c r="T11" s="11">
        <f t="shared" si="2"/>
        <v>10280</v>
      </c>
      <c r="U11" s="11">
        <f t="shared" si="10"/>
        <v>6168</v>
      </c>
      <c r="V11" s="12">
        <f>IF(K11&lt;=15000,ROUND(U11*12%,0),0)</f>
        <v>740</v>
      </c>
      <c r="W11" s="12">
        <f t="shared" si="3"/>
        <v>78</v>
      </c>
      <c r="X11" s="11">
        <f t="shared" si="4"/>
        <v>9462</v>
      </c>
      <c r="Y11" s="13">
        <f t="shared" si="5"/>
        <v>110</v>
      </c>
      <c r="Z11" s="37"/>
      <c r="AA11" s="11"/>
      <c r="AB11" s="11"/>
      <c r="AC11" s="11">
        <f t="shared" ref="AC11:AC35" si="16">T11-V11-W11-Y11-Z11-AB11</f>
        <v>9352</v>
      </c>
    </row>
    <row r="12" spans="1:29" s="38" customFormat="1" ht="16.5" x14ac:dyDescent="0.3">
      <c r="A12" s="8">
        <v>10</v>
      </c>
      <c r="B12" s="10" t="s">
        <v>39</v>
      </c>
      <c r="C12" s="10"/>
      <c r="D12" s="10"/>
      <c r="E12" s="14"/>
      <c r="F12" s="9">
        <v>30</v>
      </c>
      <c r="G12" s="9">
        <f t="shared" si="6"/>
        <v>1</v>
      </c>
      <c r="H12" s="9"/>
      <c r="I12" s="9"/>
      <c r="J12" s="8">
        <v>21100</v>
      </c>
      <c r="K12" s="11">
        <v>21100</v>
      </c>
      <c r="L12" s="11">
        <f t="shared" si="7"/>
        <v>680.64516129032256</v>
      </c>
      <c r="M12" s="11">
        <f t="shared" si="8"/>
        <v>0</v>
      </c>
      <c r="N12" s="11"/>
      <c r="O12" s="11">
        <f t="shared" si="9"/>
        <v>20419.354838709678</v>
      </c>
      <c r="P12" s="11">
        <f>O12*0.5</f>
        <v>10209.677419354839</v>
      </c>
      <c r="Q12" s="11">
        <f>O12*0.5</f>
        <v>10209.677419354839</v>
      </c>
      <c r="R12" s="11">
        <f>(0)/31*F12</f>
        <v>0</v>
      </c>
      <c r="S12" s="11">
        <f t="shared" si="15"/>
        <v>0</v>
      </c>
      <c r="T12" s="11">
        <f t="shared" si="2"/>
        <v>20419.354838709678</v>
      </c>
      <c r="U12" s="11">
        <f t="shared" si="10"/>
        <v>10209.677419354839</v>
      </c>
      <c r="V12" s="12">
        <f>IF(K11&lt;=15000,ROUND(U12*12%,0),0)</f>
        <v>1225</v>
      </c>
      <c r="W12" s="12">
        <f t="shared" si="3"/>
        <v>0</v>
      </c>
      <c r="X12" s="11">
        <f t="shared" si="4"/>
        <v>19194.354838709678</v>
      </c>
      <c r="Y12" s="13">
        <f t="shared" si="5"/>
        <v>130</v>
      </c>
      <c r="Z12" s="16"/>
      <c r="AA12" s="11"/>
      <c r="AB12" s="11"/>
      <c r="AC12" s="11">
        <f t="shared" si="16"/>
        <v>19064.354838709678</v>
      </c>
    </row>
    <row r="13" spans="1:29" s="38" customFormat="1" ht="16.5" x14ac:dyDescent="0.3">
      <c r="A13" s="8">
        <v>11</v>
      </c>
      <c r="B13" s="10" t="s">
        <v>40</v>
      </c>
      <c r="C13" s="10"/>
      <c r="D13" s="10"/>
      <c r="E13" s="14"/>
      <c r="F13" s="9">
        <v>28</v>
      </c>
      <c r="G13" s="9">
        <f t="shared" si="6"/>
        <v>3</v>
      </c>
      <c r="H13" s="9"/>
      <c r="I13" s="9"/>
      <c r="J13" s="8">
        <v>6800</v>
      </c>
      <c r="K13" s="11">
        <f>6500</f>
        <v>6500</v>
      </c>
      <c r="L13" s="11">
        <f t="shared" si="7"/>
        <v>209.67741935483872</v>
      </c>
      <c r="M13" s="11">
        <f t="shared" si="8"/>
        <v>28.387096774193548</v>
      </c>
      <c r="N13" s="11">
        <f>300+580</f>
        <v>880</v>
      </c>
      <c r="O13" s="11">
        <f t="shared" si="9"/>
        <v>5870.9677419354839</v>
      </c>
      <c r="P13" s="11">
        <f>O13*1</f>
        <v>5870.9677419354839</v>
      </c>
      <c r="Q13" s="11">
        <v>0</v>
      </c>
      <c r="R13" s="11">
        <f>(300+580)/31*F13</f>
        <v>794.83870967741939</v>
      </c>
      <c r="S13" s="11">
        <f t="shared" si="15"/>
        <v>0</v>
      </c>
      <c r="T13" s="11">
        <f t="shared" si="2"/>
        <v>6665.8064516129034</v>
      </c>
      <c r="U13" s="11">
        <f t="shared" si="10"/>
        <v>5870.9677419354839</v>
      </c>
      <c r="V13" s="12">
        <f t="shared" ref="V13:V37" si="17">IF(K13&lt;=15000,ROUND(U13*12%,0),0)</f>
        <v>705</v>
      </c>
      <c r="W13" s="12">
        <f t="shared" si="3"/>
        <v>45</v>
      </c>
      <c r="X13" s="11">
        <f t="shared" si="4"/>
        <v>5915.8064516129034</v>
      </c>
      <c r="Y13" s="13">
        <f t="shared" si="5"/>
        <v>0</v>
      </c>
      <c r="Z13" s="16"/>
      <c r="AA13" s="11"/>
      <c r="AB13" s="11"/>
      <c r="AC13" s="11">
        <f t="shared" si="16"/>
        <v>5915.8064516129034</v>
      </c>
    </row>
    <row r="14" spans="1:29" s="61" customFormat="1" ht="16.5" x14ac:dyDescent="0.3">
      <c r="A14" s="54">
        <v>12</v>
      </c>
      <c r="B14" s="55" t="s">
        <v>41</v>
      </c>
      <c r="C14" s="55"/>
      <c r="D14" s="55"/>
      <c r="E14" s="55" t="s">
        <v>42</v>
      </c>
      <c r="F14" s="55">
        <v>25</v>
      </c>
      <c r="G14" s="55">
        <f t="shared" si="6"/>
        <v>6</v>
      </c>
      <c r="H14" s="55"/>
      <c r="I14" s="56"/>
      <c r="J14" s="56"/>
      <c r="K14" s="57"/>
      <c r="L14" s="57">
        <v>220</v>
      </c>
      <c r="M14" s="57">
        <v>10</v>
      </c>
      <c r="N14" s="57"/>
      <c r="O14" s="57">
        <f t="shared" si="9"/>
        <v>5500</v>
      </c>
      <c r="P14" s="57">
        <f t="shared" ref="P14:P35" si="18">O14*0.7</f>
        <v>3849.9999999999995</v>
      </c>
      <c r="Q14" s="57">
        <f t="shared" ref="Q14:Q35" si="19">O14*0.3</f>
        <v>1650</v>
      </c>
      <c r="R14" s="57">
        <f>(10)*F14</f>
        <v>250</v>
      </c>
      <c r="S14" s="57">
        <f t="shared" si="15"/>
        <v>0</v>
      </c>
      <c r="T14" s="57">
        <f t="shared" si="2"/>
        <v>5750</v>
      </c>
      <c r="U14" s="57">
        <f t="shared" si="10"/>
        <v>3849.9999999999995</v>
      </c>
      <c r="V14" s="58">
        <f t="shared" si="17"/>
        <v>462</v>
      </c>
      <c r="W14" s="58">
        <f t="shared" si="3"/>
        <v>42</v>
      </c>
      <c r="X14" s="57">
        <f t="shared" si="4"/>
        <v>5246</v>
      </c>
      <c r="Y14" s="59">
        <f t="shared" si="5"/>
        <v>0</v>
      </c>
      <c r="Z14" s="60"/>
      <c r="AA14" s="57"/>
      <c r="AB14" s="57"/>
      <c r="AC14" s="57">
        <f t="shared" si="16"/>
        <v>5246</v>
      </c>
    </row>
    <row r="15" spans="1:29" ht="16.5" x14ac:dyDescent="0.3">
      <c r="A15" s="8">
        <v>13</v>
      </c>
      <c r="B15" s="9" t="s">
        <v>43</v>
      </c>
      <c r="C15" s="9"/>
      <c r="D15" s="9"/>
      <c r="E15" s="9" t="s">
        <v>42</v>
      </c>
      <c r="F15" s="9">
        <v>31</v>
      </c>
      <c r="G15" s="9">
        <f t="shared" si="6"/>
        <v>0</v>
      </c>
      <c r="H15" s="9"/>
      <c r="I15" s="15" t="s">
        <v>44</v>
      </c>
      <c r="J15" s="15"/>
      <c r="K15" s="11"/>
      <c r="L15" s="11">
        <v>325</v>
      </c>
      <c r="M15" s="11">
        <f t="shared" ref="M15:M34" si="20">R15/F15</f>
        <v>75</v>
      </c>
      <c r="N15" s="11"/>
      <c r="O15" s="11">
        <f t="shared" si="9"/>
        <v>10075</v>
      </c>
      <c r="P15" s="11">
        <f t="shared" si="18"/>
        <v>7052.5</v>
      </c>
      <c r="Q15" s="11">
        <f t="shared" si="19"/>
        <v>3022.5</v>
      </c>
      <c r="R15" s="11">
        <f>(15+45+15)*F15</f>
        <v>2325</v>
      </c>
      <c r="S15" s="11">
        <f>(L15+M15)*H15+450</f>
        <v>450</v>
      </c>
      <c r="T15" s="11">
        <f t="shared" si="2"/>
        <v>12850</v>
      </c>
      <c r="U15" s="11">
        <f t="shared" si="10"/>
        <v>7052.5</v>
      </c>
      <c r="V15" s="12">
        <f t="shared" si="17"/>
        <v>846</v>
      </c>
      <c r="W15" s="12">
        <f t="shared" si="3"/>
        <v>76</v>
      </c>
      <c r="X15" s="11">
        <f t="shared" si="4"/>
        <v>11928</v>
      </c>
      <c r="Y15" s="13">
        <f t="shared" si="5"/>
        <v>110</v>
      </c>
      <c r="Z15" s="16"/>
      <c r="AA15" s="11"/>
      <c r="AB15" s="11"/>
      <c r="AC15" s="11">
        <f t="shared" si="16"/>
        <v>11818</v>
      </c>
    </row>
    <row r="16" spans="1:29" ht="16.5" x14ac:dyDescent="0.3">
      <c r="A16" s="8">
        <v>14</v>
      </c>
      <c r="B16" s="9" t="s">
        <v>45</v>
      </c>
      <c r="C16" s="9"/>
      <c r="D16" s="9"/>
      <c r="E16" s="9" t="s">
        <v>42</v>
      </c>
      <c r="F16" s="9">
        <v>17</v>
      </c>
      <c r="G16" s="9">
        <f t="shared" si="6"/>
        <v>14</v>
      </c>
      <c r="H16" s="9"/>
      <c r="I16" s="15" t="s">
        <v>46</v>
      </c>
      <c r="J16" s="15"/>
      <c r="K16" s="11"/>
      <c r="L16" s="11">
        <v>325</v>
      </c>
      <c r="M16" s="11">
        <f t="shared" si="20"/>
        <v>50</v>
      </c>
      <c r="N16" s="11"/>
      <c r="O16" s="11">
        <f t="shared" si="9"/>
        <v>5525</v>
      </c>
      <c r="P16" s="11">
        <f t="shared" si="18"/>
        <v>3867.4999999999995</v>
      </c>
      <c r="Q16" s="11">
        <f t="shared" si="19"/>
        <v>1657.5</v>
      </c>
      <c r="R16" s="11">
        <f>(15+20+15)*F16</f>
        <v>850</v>
      </c>
      <c r="S16" s="11">
        <f>(L16+M16)*H16+360</f>
        <v>360</v>
      </c>
      <c r="T16" s="11">
        <f t="shared" si="2"/>
        <v>6735</v>
      </c>
      <c r="U16" s="11">
        <f t="shared" si="10"/>
        <v>3867.4999999999995</v>
      </c>
      <c r="V16" s="12">
        <f t="shared" si="17"/>
        <v>464</v>
      </c>
      <c r="W16" s="12">
        <f t="shared" si="3"/>
        <v>42</v>
      </c>
      <c r="X16" s="11">
        <f t="shared" si="4"/>
        <v>6229</v>
      </c>
      <c r="Y16" s="13">
        <f t="shared" si="5"/>
        <v>0</v>
      </c>
      <c r="Z16" s="16"/>
      <c r="AA16" s="11"/>
      <c r="AB16" s="11"/>
      <c r="AC16" s="11">
        <f t="shared" si="16"/>
        <v>6229</v>
      </c>
    </row>
    <row r="17" spans="1:29" ht="16.5" x14ac:dyDescent="0.3">
      <c r="A17" s="8">
        <v>15</v>
      </c>
      <c r="B17" s="9" t="s">
        <v>47</v>
      </c>
      <c r="C17" s="9"/>
      <c r="D17" s="9"/>
      <c r="E17" s="9" t="s">
        <v>42</v>
      </c>
      <c r="F17" s="9">
        <v>28</v>
      </c>
      <c r="G17" s="9">
        <f t="shared" si="6"/>
        <v>3</v>
      </c>
      <c r="H17" s="9"/>
      <c r="I17" s="15" t="s">
        <v>44</v>
      </c>
      <c r="J17" s="15"/>
      <c r="K17" s="11"/>
      <c r="L17" s="11">
        <v>325</v>
      </c>
      <c r="M17" s="11">
        <f t="shared" si="20"/>
        <v>75</v>
      </c>
      <c r="N17" s="11"/>
      <c r="O17" s="11">
        <f>L17*F17</f>
        <v>9100</v>
      </c>
      <c r="P17" s="11">
        <f t="shared" si="18"/>
        <v>6370</v>
      </c>
      <c r="Q17" s="11">
        <f t="shared" si="19"/>
        <v>2730</v>
      </c>
      <c r="R17" s="11">
        <f>(35+25+15)*F17</f>
        <v>2100</v>
      </c>
      <c r="S17" s="11">
        <f>(L17+M17)*H17+435</f>
        <v>435</v>
      </c>
      <c r="T17" s="11">
        <f t="shared" si="2"/>
        <v>11635</v>
      </c>
      <c r="U17" s="11">
        <f t="shared" si="10"/>
        <v>6370</v>
      </c>
      <c r="V17" s="12">
        <f t="shared" si="17"/>
        <v>764</v>
      </c>
      <c r="W17" s="12">
        <f t="shared" si="3"/>
        <v>69</v>
      </c>
      <c r="X17" s="11">
        <f t="shared" si="4"/>
        <v>10802</v>
      </c>
      <c r="Y17" s="13">
        <f t="shared" si="5"/>
        <v>110</v>
      </c>
      <c r="Z17" s="16"/>
      <c r="AA17" s="11"/>
      <c r="AB17" s="11"/>
      <c r="AC17" s="11">
        <f t="shared" si="16"/>
        <v>10692</v>
      </c>
    </row>
    <row r="18" spans="1:29" ht="16.5" x14ac:dyDescent="0.3">
      <c r="A18" s="8">
        <v>16</v>
      </c>
      <c r="B18" s="9" t="s">
        <v>48</v>
      </c>
      <c r="C18" s="9"/>
      <c r="D18" s="9"/>
      <c r="E18" s="9" t="s">
        <v>42</v>
      </c>
      <c r="F18" s="9">
        <v>30</v>
      </c>
      <c r="G18" s="9">
        <f t="shared" si="6"/>
        <v>1</v>
      </c>
      <c r="H18" s="9"/>
      <c r="I18" s="15" t="s">
        <v>44</v>
      </c>
      <c r="J18" s="15"/>
      <c r="K18" s="11"/>
      <c r="L18" s="11">
        <v>335</v>
      </c>
      <c r="M18" s="11">
        <f t="shared" si="20"/>
        <v>65</v>
      </c>
      <c r="N18" s="11"/>
      <c r="O18" s="11">
        <f t="shared" si="9"/>
        <v>10050</v>
      </c>
      <c r="P18" s="11">
        <f t="shared" si="18"/>
        <v>7035</v>
      </c>
      <c r="Q18" s="11">
        <f t="shared" si="19"/>
        <v>3015</v>
      </c>
      <c r="R18" s="11">
        <f>(25+25+15)*F18</f>
        <v>1950</v>
      </c>
      <c r="S18" s="11">
        <f>(L18+M18)*H18+450</f>
        <v>450</v>
      </c>
      <c r="T18" s="11">
        <f t="shared" si="2"/>
        <v>12450</v>
      </c>
      <c r="U18" s="11">
        <f t="shared" si="10"/>
        <v>7035</v>
      </c>
      <c r="V18" s="12">
        <f t="shared" si="17"/>
        <v>844</v>
      </c>
      <c r="W18" s="12">
        <f t="shared" si="3"/>
        <v>76</v>
      </c>
      <c r="X18" s="11">
        <f t="shared" si="4"/>
        <v>11530</v>
      </c>
      <c r="Y18" s="13">
        <f t="shared" si="5"/>
        <v>110</v>
      </c>
      <c r="Z18" s="16"/>
      <c r="AA18" s="11"/>
      <c r="AB18" s="11"/>
      <c r="AC18" s="11">
        <f t="shared" si="16"/>
        <v>11420</v>
      </c>
    </row>
    <row r="19" spans="1:29" ht="16.5" x14ac:dyDescent="0.3">
      <c r="A19" s="8">
        <v>17</v>
      </c>
      <c r="B19" s="10" t="s">
        <v>49</v>
      </c>
      <c r="C19" s="10"/>
      <c r="D19" s="10"/>
      <c r="E19" s="9" t="s">
        <v>50</v>
      </c>
      <c r="F19" s="9">
        <v>27</v>
      </c>
      <c r="G19" s="9">
        <f t="shared" si="6"/>
        <v>4</v>
      </c>
      <c r="H19" s="9"/>
      <c r="I19" s="15" t="s">
        <v>44</v>
      </c>
      <c r="J19" s="15"/>
      <c r="K19" s="11"/>
      <c r="L19" s="11">
        <v>325</v>
      </c>
      <c r="M19" s="11">
        <f t="shared" si="20"/>
        <v>75</v>
      </c>
      <c r="N19" s="11"/>
      <c r="O19" s="11">
        <f t="shared" si="9"/>
        <v>8775</v>
      </c>
      <c r="P19" s="11">
        <f t="shared" si="18"/>
        <v>6142.5</v>
      </c>
      <c r="Q19" s="11">
        <f t="shared" si="19"/>
        <v>2632.5</v>
      </c>
      <c r="R19" s="11">
        <f>(35+25+15)*F19</f>
        <v>2025</v>
      </c>
      <c r="S19" s="11">
        <f>(L19+M19)*H19+450</f>
        <v>450</v>
      </c>
      <c r="T19" s="11">
        <f t="shared" si="2"/>
        <v>11250</v>
      </c>
      <c r="U19" s="11">
        <f t="shared" si="10"/>
        <v>6142.5</v>
      </c>
      <c r="V19" s="12">
        <f t="shared" si="17"/>
        <v>737</v>
      </c>
      <c r="W19" s="12">
        <f t="shared" si="3"/>
        <v>66</v>
      </c>
      <c r="X19" s="11">
        <f t="shared" si="4"/>
        <v>10447</v>
      </c>
      <c r="Y19" s="13">
        <f t="shared" si="5"/>
        <v>110</v>
      </c>
      <c r="Z19" s="11"/>
      <c r="AA19" s="11"/>
      <c r="AB19" s="11"/>
      <c r="AC19" s="11">
        <f t="shared" si="16"/>
        <v>10337</v>
      </c>
    </row>
    <row r="20" spans="1:29" ht="16.5" x14ac:dyDescent="0.3">
      <c r="A20" s="8">
        <v>18</v>
      </c>
      <c r="B20" s="9" t="s">
        <v>51</v>
      </c>
      <c r="C20" s="9"/>
      <c r="D20" s="9"/>
      <c r="E20" s="9" t="s">
        <v>42</v>
      </c>
      <c r="F20" s="9">
        <v>30</v>
      </c>
      <c r="G20" s="9">
        <f t="shared" si="6"/>
        <v>1</v>
      </c>
      <c r="H20" s="9"/>
      <c r="I20" s="15" t="s">
        <v>44</v>
      </c>
      <c r="J20" s="15"/>
      <c r="K20" s="11"/>
      <c r="L20" s="11">
        <v>325</v>
      </c>
      <c r="M20" s="11">
        <f t="shared" si="20"/>
        <v>75</v>
      </c>
      <c r="N20" s="11"/>
      <c r="O20" s="11">
        <f t="shared" si="9"/>
        <v>9750</v>
      </c>
      <c r="P20" s="11">
        <f t="shared" si="18"/>
        <v>6825</v>
      </c>
      <c r="Q20" s="11">
        <f t="shared" si="19"/>
        <v>2925</v>
      </c>
      <c r="R20" s="11">
        <f>(15+45+15)*F20</f>
        <v>2250</v>
      </c>
      <c r="S20" s="11">
        <f>(L20+M20)*H20+450</f>
        <v>450</v>
      </c>
      <c r="T20" s="11">
        <f t="shared" si="2"/>
        <v>12450</v>
      </c>
      <c r="U20" s="11">
        <f t="shared" si="10"/>
        <v>6825</v>
      </c>
      <c r="V20" s="12">
        <f t="shared" si="17"/>
        <v>819</v>
      </c>
      <c r="W20" s="12">
        <f t="shared" si="3"/>
        <v>74</v>
      </c>
      <c r="X20" s="11">
        <f t="shared" si="4"/>
        <v>11557</v>
      </c>
      <c r="Y20" s="13">
        <f t="shared" si="5"/>
        <v>110</v>
      </c>
      <c r="Z20" s="11"/>
      <c r="AA20" s="11"/>
      <c r="AB20" s="11"/>
      <c r="AC20" s="11">
        <f t="shared" si="16"/>
        <v>11447</v>
      </c>
    </row>
    <row r="21" spans="1:29" ht="16.5" x14ac:dyDescent="0.3">
      <c r="A21" s="8">
        <v>19</v>
      </c>
      <c r="B21" s="9" t="s">
        <v>52</v>
      </c>
      <c r="C21" s="9"/>
      <c r="D21" s="9"/>
      <c r="E21" s="9" t="s">
        <v>42</v>
      </c>
      <c r="F21" s="9">
        <v>30</v>
      </c>
      <c r="G21" s="9">
        <f t="shared" si="6"/>
        <v>1</v>
      </c>
      <c r="H21" s="9">
        <v>4</v>
      </c>
      <c r="I21" s="15" t="s">
        <v>44</v>
      </c>
      <c r="J21" s="15"/>
      <c r="K21" s="11"/>
      <c r="L21" s="11">
        <v>325</v>
      </c>
      <c r="M21" s="11">
        <f t="shared" si="20"/>
        <v>75</v>
      </c>
      <c r="N21" s="11"/>
      <c r="O21" s="11">
        <f t="shared" si="9"/>
        <v>9750</v>
      </c>
      <c r="P21" s="11">
        <f t="shared" si="18"/>
        <v>6825</v>
      </c>
      <c r="Q21" s="11">
        <f t="shared" si="19"/>
        <v>2925</v>
      </c>
      <c r="R21" s="11">
        <f>(15+45+15)*F21</f>
        <v>2250</v>
      </c>
      <c r="S21" s="11">
        <f>(L21+M21)*H21+495</f>
        <v>2095</v>
      </c>
      <c r="T21" s="11">
        <f t="shared" si="2"/>
        <v>14095</v>
      </c>
      <c r="U21" s="11">
        <f t="shared" si="10"/>
        <v>6825</v>
      </c>
      <c r="V21" s="12">
        <f t="shared" si="17"/>
        <v>819</v>
      </c>
      <c r="W21" s="12">
        <f t="shared" si="3"/>
        <v>74</v>
      </c>
      <c r="X21" s="11">
        <f t="shared" si="4"/>
        <v>13202</v>
      </c>
      <c r="Y21" s="13">
        <f t="shared" si="5"/>
        <v>110</v>
      </c>
      <c r="Z21" s="11"/>
      <c r="AA21" s="11"/>
      <c r="AB21" s="11"/>
      <c r="AC21" s="11">
        <f t="shared" si="16"/>
        <v>13092</v>
      </c>
    </row>
    <row r="22" spans="1:29" ht="16.5" x14ac:dyDescent="0.3">
      <c r="A22" s="8">
        <v>20</v>
      </c>
      <c r="B22" s="9" t="s">
        <v>53</v>
      </c>
      <c r="C22" s="9"/>
      <c r="D22" s="9"/>
      <c r="E22" s="9"/>
      <c r="F22" s="9">
        <v>30</v>
      </c>
      <c r="G22" s="9">
        <f t="shared" si="6"/>
        <v>1</v>
      </c>
      <c r="H22" s="9">
        <v>3</v>
      </c>
      <c r="I22" s="15" t="s">
        <v>44</v>
      </c>
      <c r="J22" s="15"/>
      <c r="K22" s="11"/>
      <c r="L22" s="11">
        <v>335</v>
      </c>
      <c r="M22" s="11">
        <f t="shared" si="20"/>
        <v>65</v>
      </c>
      <c r="N22" s="11"/>
      <c r="O22" s="11">
        <f t="shared" si="9"/>
        <v>10050</v>
      </c>
      <c r="P22" s="11">
        <f t="shared" si="18"/>
        <v>7035</v>
      </c>
      <c r="Q22" s="11">
        <f t="shared" si="19"/>
        <v>3015</v>
      </c>
      <c r="R22" s="11">
        <f>(25+25+15)*F22</f>
        <v>1950</v>
      </c>
      <c r="S22" s="11">
        <f>(L22+M22)*H22+495</f>
        <v>1695</v>
      </c>
      <c r="T22" s="11">
        <f t="shared" si="2"/>
        <v>13695</v>
      </c>
      <c r="U22" s="11">
        <f>+P22</f>
        <v>7035</v>
      </c>
      <c r="V22" s="12">
        <f t="shared" si="17"/>
        <v>844</v>
      </c>
      <c r="W22" s="12">
        <f t="shared" si="3"/>
        <v>76</v>
      </c>
      <c r="X22" s="11">
        <f t="shared" si="4"/>
        <v>12775</v>
      </c>
      <c r="Y22" s="13">
        <f t="shared" si="5"/>
        <v>110</v>
      </c>
      <c r="Z22" s="11"/>
      <c r="AA22" s="11"/>
      <c r="AB22" s="11"/>
      <c r="AC22" s="11">
        <f t="shared" si="16"/>
        <v>12665</v>
      </c>
    </row>
    <row r="23" spans="1:29" ht="16.5" x14ac:dyDescent="0.3">
      <c r="A23" s="8">
        <v>21</v>
      </c>
      <c r="B23" s="9" t="s">
        <v>54</v>
      </c>
      <c r="C23" s="9"/>
      <c r="D23" s="9"/>
      <c r="E23" s="22"/>
      <c r="F23" s="9">
        <v>28</v>
      </c>
      <c r="G23" s="9">
        <f t="shared" si="6"/>
        <v>3</v>
      </c>
      <c r="H23" s="9">
        <v>2</v>
      </c>
      <c r="I23" s="15" t="s">
        <v>44</v>
      </c>
      <c r="J23" s="15"/>
      <c r="K23" s="23"/>
      <c r="L23" s="11">
        <v>335</v>
      </c>
      <c r="M23" s="11">
        <f t="shared" si="20"/>
        <v>65</v>
      </c>
      <c r="N23" s="11"/>
      <c r="O23" s="11">
        <f t="shared" si="9"/>
        <v>9380</v>
      </c>
      <c r="P23" s="11">
        <f t="shared" si="18"/>
        <v>6566</v>
      </c>
      <c r="Q23" s="11">
        <f t="shared" si="19"/>
        <v>2814</v>
      </c>
      <c r="R23" s="11">
        <f>(25+25+15)*F23</f>
        <v>1820</v>
      </c>
      <c r="S23" s="11">
        <f>(L23+M23)*H23+495</f>
        <v>1295</v>
      </c>
      <c r="T23" s="11">
        <f t="shared" si="2"/>
        <v>12495</v>
      </c>
      <c r="U23" s="11">
        <f t="shared" si="10"/>
        <v>6566</v>
      </c>
      <c r="V23" s="12">
        <f t="shared" si="17"/>
        <v>788</v>
      </c>
      <c r="W23" s="12">
        <f t="shared" si="3"/>
        <v>71</v>
      </c>
      <c r="X23" s="11">
        <f t="shared" si="4"/>
        <v>11636</v>
      </c>
      <c r="Y23" s="13">
        <f t="shared" si="5"/>
        <v>110</v>
      </c>
      <c r="Z23" s="11"/>
      <c r="AA23" s="11"/>
      <c r="AB23" s="11"/>
      <c r="AC23" s="11">
        <f t="shared" si="16"/>
        <v>11526</v>
      </c>
    </row>
    <row r="24" spans="1:29" ht="16.5" x14ac:dyDescent="0.3">
      <c r="A24" s="8">
        <v>22</v>
      </c>
      <c r="B24" s="9" t="s">
        <v>55</v>
      </c>
      <c r="C24" s="9"/>
      <c r="D24" s="9"/>
      <c r="E24" s="22"/>
      <c r="F24" s="9">
        <v>29</v>
      </c>
      <c r="G24" s="9">
        <f t="shared" si="6"/>
        <v>2</v>
      </c>
      <c r="H24" s="9"/>
      <c r="I24" s="15" t="s">
        <v>46</v>
      </c>
      <c r="J24" s="15"/>
      <c r="K24" s="23"/>
      <c r="L24" s="11">
        <v>325</v>
      </c>
      <c r="M24" s="11">
        <f t="shared" si="20"/>
        <v>50</v>
      </c>
      <c r="N24" s="11"/>
      <c r="O24" s="11">
        <f t="shared" si="9"/>
        <v>9425</v>
      </c>
      <c r="P24" s="11">
        <f t="shared" si="18"/>
        <v>6597.5</v>
      </c>
      <c r="Q24" s="11">
        <f t="shared" si="19"/>
        <v>2827.5</v>
      </c>
      <c r="R24" s="11">
        <f>(15+20+15)*F24</f>
        <v>1450</v>
      </c>
      <c r="S24" s="11">
        <f>(L24+M24)*H24+435</f>
        <v>435</v>
      </c>
      <c r="T24" s="11">
        <f t="shared" si="2"/>
        <v>11310</v>
      </c>
      <c r="U24" s="11">
        <f t="shared" si="10"/>
        <v>6597.5</v>
      </c>
      <c r="V24" s="12">
        <f t="shared" si="17"/>
        <v>792</v>
      </c>
      <c r="W24" s="12">
        <f t="shared" si="3"/>
        <v>71</v>
      </c>
      <c r="X24" s="11">
        <f t="shared" si="4"/>
        <v>10447</v>
      </c>
      <c r="Y24" s="13">
        <f t="shared" si="5"/>
        <v>110</v>
      </c>
      <c r="Z24" s="11"/>
      <c r="AA24" s="11"/>
      <c r="AB24" s="11"/>
      <c r="AC24" s="11">
        <f t="shared" si="16"/>
        <v>10337</v>
      </c>
    </row>
    <row r="25" spans="1:29" ht="16.5" x14ac:dyDescent="0.3">
      <c r="A25" s="8">
        <v>23</v>
      </c>
      <c r="B25" s="9" t="s">
        <v>56</v>
      </c>
      <c r="C25" s="9"/>
      <c r="D25" s="9"/>
      <c r="E25" s="8"/>
      <c r="F25" s="9">
        <v>27</v>
      </c>
      <c r="G25" s="9">
        <f t="shared" si="6"/>
        <v>4</v>
      </c>
      <c r="H25" s="9"/>
      <c r="I25" s="15" t="s">
        <v>44</v>
      </c>
      <c r="J25" s="15"/>
      <c r="K25" s="23"/>
      <c r="L25" s="11">
        <v>325</v>
      </c>
      <c r="M25" s="11">
        <f t="shared" si="20"/>
        <v>75</v>
      </c>
      <c r="N25" s="11"/>
      <c r="O25" s="11">
        <f t="shared" si="9"/>
        <v>8775</v>
      </c>
      <c r="P25" s="11">
        <f t="shared" si="18"/>
        <v>6142.5</v>
      </c>
      <c r="Q25" s="11">
        <f t="shared" si="19"/>
        <v>2632.5</v>
      </c>
      <c r="R25" s="11">
        <f>(35+25+15)*F25</f>
        <v>2025</v>
      </c>
      <c r="S25" s="11">
        <f>(L25+M25)*H25+420</f>
        <v>420</v>
      </c>
      <c r="T25" s="11">
        <f t="shared" si="2"/>
        <v>11220</v>
      </c>
      <c r="U25" s="11">
        <f t="shared" si="10"/>
        <v>6142.5</v>
      </c>
      <c r="V25" s="12">
        <f t="shared" si="17"/>
        <v>737</v>
      </c>
      <c r="W25" s="12">
        <f t="shared" si="3"/>
        <v>66</v>
      </c>
      <c r="X25" s="11">
        <f t="shared" si="4"/>
        <v>10417</v>
      </c>
      <c r="Y25" s="13">
        <f t="shared" si="5"/>
        <v>110</v>
      </c>
      <c r="Z25" s="11"/>
      <c r="AA25" s="11"/>
      <c r="AB25" s="11"/>
      <c r="AC25" s="11">
        <f t="shared" si="16"/>
        <v>10307</v>
      </c>
    </row>
    <row r="26" spans="1:29" ht="16.5" x14ac:dyDescent="0.3">
      <c r="A26" s="8">
        <v>24</v>
      </c>
      <c r="B26" t="s">
        <v>57</v>
      </c>
      <c r="C26" s="9"/>
      <c r="D26" s="9"/>
      <c r="E26" s="8"/>
      <c r="F26" s="9">
        <v>29</v>
      </c>
      <c r="G26" s="9">
        <f t="shared" si="6"/>
        <v>2</v>
      </c>
      <c r="H26" s="9"/>
      <c r="I26" s="15" t="s">
        <v>46</v>
      </c>
      <c r="J26" s="15"/>
      <c r="K26" s="23"/>
      <c r="L26" s="11">
        <v>315</v>
      </c>
      <c r="M26" s="11">
        <f t="shared" si="20"/>
        <v>60</v>
      </c>
      <c r="N26" s="11"/>
      <c r="O26" s="11">
        <f t="shared" si="9"/>
        <v>9135</v>
      </c>
      <c r="P26" s="11">
        <f t="shared" si="18"/>
        <v>6394.5</v>
      </c>
      <c r="Q26" s="11">
        <f t="shared" si="19"/>
        <v>2740.5</v>
      </c>
      <c r="R26" s="11">
        <f>(10+35+15)*F26</f>
        <v>1740</v>
      </c>
      <c r="S26" s="11">
        <f>(L26+M26)*H26+420</f>
        <v>420</v>
      </c>
      <c r="T26" s="11">
        <f t="shared" si="2"/>
        <v>11295</v>
      </c>
      <c r="U26" s="11">
        <f t="shared" si="10"/>
        <v>6394.5</v>
      </c>
      <c r="V26" s="12">
        <f t="shared" si="17"/>
        <v>767</v>
      </c>
      <c r="W26" s="12">
        <f t="shared" si="3"/>
        <v>69</v>
      </c>
      <c r="X26" s="11">
        <f t="shared" si="4"/>
        <v>10459</v>
      </c>
      <c r="Y26" s="13">
        <f t="shared" si="5"/>
        <v>110</v>
      </c>
      <c r="Z26" s="11"/>
      <c r="AA26" s="11"/>
      <c r="AB26" s="11"/>
      <c r="AC26" s="11">
        <f t="shared" si="16"/>
        <v>10349</v>
      </c>
    </row>
    <row r="27" spans="1:29" ht="16.5" x14ac:dyDescent="0.3">
      <c r="A27" s="8">
        <v>25</v>
      </c>
      <c r="B27" s="9" t="s">
        <v>58</v>
      </c>
      <c r="C27" s="9"/>
      <c r="D27" s="9"/>
      <c r="E27" s="8"/>
      <c r="F27" s="9">
        <v>31</v>
      </c>
      <c r="G27" s="9">
        <f t="shared" si="6"/>
        <v>0</v>
      </c>
      <c r="H27" s="9">
        <v>3</v>
      </c>
      <c r="I27" s="15" t="s">
        <v>46</v>
      </c>
      <c r="J27" s="15"/>
      <c r="K27" s="23"/>
      <c r="L27" s="11">
        <v>325</v>
      </c>
      <c r="M27" s="11">
        <f t="shared" si="20"/>
        <v>50</v>
      </c>
      <c r="N27" s="11"/>
      <c r="O27" s="11">
        <f t="shared" si="9"/>
        <v>10075</v>
      </c>
      <c r="P27" s="11">
        <f t="shared" si="18"/>
        <v>7052.5</v>
      </c>
      <c r="Q27" s="11">
        <f t="shared" si="19"/>
        <v>3022.5</v>
      </c>
      <c r="R27" s="11">
        <f>(15+20+15)*F27</f>
        <v>1550</v>
      </c>
      <c r="S27" s="11">
        <f>(L27+M27)*H27+465</f>
        <v>1590</v>
      </c>
      <c r="T27" s="11">
        <f t="shared" si="2"/>
        <v>13215</v>
      </c>
      <c r="U27" s="11">
        <f t="shared" si="10"/>
        <v>7052.5</v>
      </c>
      <c r="V27" s="12">
        <f t="shared" si="17"/>
        <v>846</v>
      </c>
      <c r="W27" s="12">
        <f t="shared" si="3"/>
        <v>76</v>
      </c>
      <c r="X27" s="11">
        <f t="shared" si="4"/>
        <v>12293</v>
      </c>
      <c r="Y27" s="13">
        <f t="shared" si="5"/>
        <v>110</v>
      </c>
      <c r="Z27" s="11"/>
      <c r="AA27" s="11"/>
      <c r="AB27" s="11"/>
      <c r="AC27" s="11">
        <f t="shared" si="16"/>
        <v>12183</v>
      </c>
    </row>
    <row r="28" spans="1:29" ht="16.5" x14ac:dyDescent="0.3">
      <c r="A28" s="8">
        <v>26</v>
      </c>
      <c r="B28" s="24" t="s">
        <v>59</v>
      </c>
      <c r="C28" s="9"/>
      <c r="D28" s="9"/>
      <c r="E28" s="8"/>
      <c r="F28" s="9">
        <v>31</v>
      </c>
      <c r="G28" s="9">
        <f t="shared" si="6"/>
        <v>0</v>
      </c>
      <c r="H28" s="9"/>
      <c r="I28" s="15" t="s">
        <v>46</v>
      </c>
      <c r="J28" s="15"/>
      <c r="K28" s="23"/>
      <c r="L28" s="11">
        <v>315</v>
      </c>
      <c r="M28" s="11">
        <f t="shared" si="20"/>
        <v>60</v>
      </c>
      <c r="N28" s="11"/>
      <c r="O28" s="11">
        <f t="shared" si="9"/>
        <v>9765</v>
      </c>
      <c r="P28" s="11">
        <f t="shared" si="18"/>
        <v>6835.5</v>
      </c>
      <c r="Q28" s="11">
        <f t="shared" si="19"/>
        <v>2929.5</v>
      </c>
      <c r="R28" s="11">
        <f>(10+35+15)*F28</f>
        <v>1860</v>
      </c>
      <c r="S28" s="11">
        <f>(L28+M28)*H28+450</f>
        <v>450</v>
      </c>
      <c r="T28" s="11">
        <f t="shared" si="2"/>
        <v>12075</v>
      </c>
      <c r="U28" s="11">
        <f t="shared" si="10"/>
        <v>6835.5</v>
      </c>
      <c r="V28" s="12">
        <f t="shared" si="17"/>
        <v>820</v>
      </c>
      <c r="W28" s="12">
        <f t="shared" si="3"/>
        <v>74</v>
      </c>
      <c r="X28" s="11">
        <f t="shared" si="4"/>
        <v>11181</v>
      </c>
      <c r="Y28" s="13">
        <f t="shared" si="5"/>
        <v>110</v>
      </c>
      <c r="Z28" s="11"/>
      <c r="AA28" s="11"/>
      <c r="AB28" s="11"/>
      <c r="AC28" s="11">
        <f t="shared" si="16"/>
        <v>11071</v>
      </c>
    </row>
    <row r="29" spans="1:29" ht="16.5" x14ac:dyDescent="0.3">
      <c r="A29" s="8">
        <v>27</v>
      </c>
      <c r="B29" s="24" t="s">
        <v>60</v>
      </c>
      <c r="C29" s="9"/>
      <c r="D29" s="9"/>
      <c r="E29" s="8"/>
      <c r="F29" s="9">
        <v>10</v>
      </c>
      <c r="G29" s="9">
        <f t="shared" si="6"/>
        <v>21</v>
      </c>
      <c r="H29" s="9"/>
      <c r="I29" s="15" t="s">
        <v>46</v>
      </c>
      <c r="J29" s="15"/>
      <c r="K29" s="23"/>
      <c r="L29" s="11">
        <v>315</v>
      </c>
      <c r="M29" s="11">
        <f t="shared" si="20"/>
        <v>60</v>
      </c>
      <c r="N29" s="11"/>
      <c r="O29" s="11">
        <f t="shared" si="9"/>
        <v>3150</v>
      </c>
      <c r="P29" s="11">
        <f t="shared" si="18"/>
        <v>2205</v>
      </c>
      <c r="Q29" s="11">
        <f t="shared" si="19"/>
        <v>945</v>
      </c>
      <c r="R29" s="11">
        <f>(10+35+15)*F29</f>
        <v>600</v>
      </c>
      <c r="S29" s="11">
        <f>(L29+M29)*H29+420</f>
        <v>420</v>
      </c>
      <c r="T29" s="11">
        <f t="shared" si="2"/>
        <v>4170</v>
      </c>
      <c r="U29" s="11">
        <f t="shared" si="10"/>
        <v>2205</v>
      </c>
      <c r="V29" s="12">
        <f t="shared" si="17"/>
        <v>265</v>
      </c>
      <c r="W29" s="12">
        <f t="shared" si="3"/>
        <v>24</v>
      </c>
      <c r="X29" s="11">
        <f t="shared" si="4"/>
        <v>3881</v>
      </c>
      <c r="Y29" s="13">
        <f t="shared" si="5"/>
        <v>0</v>
      </c>
      <c r="Z29" s="25">
        <v>0</v>
      </c>
      <c r="AA29" s="11"/>
      <c r="AB29" s="11"/>
      <c r="AC29" s="11">
        <f t="shared" si="16"/>
        <v>3881</v>
      </c>
    </row>
    <row r="30" spans="1:29" ht="16.5" x14ac:dyDescent="0.3">
      <c r="A30" s="8">
        <v>28</v>
      </c>
      <c r="B30" s="24" t="s">
        <v>61</v>
      </c>
      <c r="C30" s="9"/>
      <c r="D30" s="9"/>
      <c r="E30" s="8"/>
      <c r="F30" s="9">
        <v>28</v>
      </c>
      <c r="G30" s="9">
        <f t="shared" si="6"/>
        <v>3</v>
      </c>
      <c r="H30" s="9"/>
      <c r="I30" s="15" t="s">
        <v>44</v>
      </c>
      <c r="J30" s="15"/>
      <c r="K30" s="23"/>
      <c r="L30" s="11">
        <v>315</v>
      </c>
      <c r="M30" s="11">
        <f t="shared" si="20"/>
        <v>85</v>
      </c>
      <c r="N30" s="11"/>
      <c r="O30" s="11">
        <f t="shared" si="9"/>
        <v>8820</v>
      </c>
      <c r="P30" s="11">
        <f t="shared" si="18"/>
        <v>6174</v>
      </c>
      <c r="Q30" s="11">
        <f t="shared" si="19"/>
        <v>2646</v>
      </c>
      <c r="R30" s="11">
        <f>(25+45+15)*F30</f>
        <v>2380</v>
      </c>
      <c r="S30" s="11">
        <f>(L30+M30)*H30+435</f>
        <v>435</v>
      </c>
      <c r="T30" s="11">
        <f t="shared" si="2"/>
        <v>11635</v>
      </c>
      <c r="U30" s="11">
        <f t="shared" si="10"/>
        <v>6174</v>
      </c>
      <c r="V30" s="12">
        <f t="shared" si="17"/>
        <v>741</v>
      </c>
      <c r="W30" s="12">
        <f t="shared" si="3"/>
        <v>67</v>
      </c>
      <c r="X30" s="11">
        <f t="shared" si="4"/>
        <v>10827</v>
      </c>
      <c r="Y30" s="13">
        <f t="shared" si="5"/>
        <v>110</v>
      </c>
      <c r="Z30" s="11"/>
      <c r="AA30" s="11"/>
      <c r="AB30" s="11"/>
      <c r="AC30" s="11">
        <f t="shared" si="16"/>
        <v>10717</v>
      </c>
    </row>
    <row r="31" spans="1:29" ht="16.5" x14ac:dyDescent="0.3">
      <c r="A31" s="26">
        <v>29</v>
      </c>
      <c r="B31" s="24" t="s">
        <v>62</v>
      </c>
      <c r="C31" s="27"/>
      <c r="D31" s="9"/>
      <c r="E31" s="8"/>
      <c r="F31" s="9">
        <v>29</v>
      </c>
      <c r="G31" s="9">
        <f t="shared" si="6"/>
        <v>2</v>
      </c>
      <c r="H31" s="9"/>
      <c r="I31" s="15"/>
      <c r="J31" s="15"/>
      <c r="K31" s="23"/>
      <c r="L31" s="11">
        <v>315</v>
      </c>
      <c r="M31" s="11">
        <f t="shared" si="20"/>
        <v>35</v>
      </c>
      <c r="N31" s="11"/>
      <c r="O31" s="11">
        <f t="shared" si="9"/>
        <v>9135</v>
      </c>
      <c r="P31" s="11">
        <f>O31*0.6</f>
        <v>5481</v>
      </c>
      <c r="Q31" s="11">
        <f>(O31)*0.4</f>
        <v>3654</v>
      </c>
      <c r="R31" s="11">
        <f>(35)*F31</f>
        <v>1015</v>
      </c>
      <c r="S31" s="11">
        <f>(L31+M31)*H31</f>
        <v>0</v>
      </c>
      <c r="T31" s="11">
        <f t="shared" si="2"/>
        <v>10150</v>
      </c>
      <c r="U31" s="11">
        <f t="shared" si="10"/>
        <v>5481</v>
      </c>
      <c r="V31" s="12">
        <f t="shared" si="17"/>
        <v>658</v>
      </c>
      <c r="W31" s="12">
        <f t="shared" si="3"/>
        <v>69</v>
      </c>
      <c r="X31" s="11">
        <f t="shared" si="4"/>
        <v>9423</v>
      </c>
      <c r="Y31" s="13">
        <f t="shared" si="5"/>
        <v>110</v>
      </c>
      <c r="Z31" s="11"/>
      <c r="AA31" s="11"/>
      <c r="AB31" s="11"/>
      <c r="AC31" s="11">
        <f t="shared" si="16"/>
        <v>9313</v>
      </c>
    </row>
    <row r="32" spans="1:29" ht="16.5" x14ac:dyDescent="0.3">
      <c r="A32" s="26">
        <v>30</v>
      </c>
      <c r="B32" s="24" t="s">
        <v>63</v>
      </c>
      <c r="C32" s="27"/>
      <c r="D32" s="9"/>
      <c r="E32" s="8"/>
      <c r="F32" s="9">
        <v>25</v>
      </c>
      <c r="G32" s="9">
        <f t="shared" si="6"/>
        <v>6</v>
      </c>
      <c r="H32" s="9"/>
      <c r="I32" s="15"/>
      <c r="J32" s="15"/>
      <c r="K32" s="23"/>
      <c r="L32" s="11">
        <v>315</v>
      </c>
      <c r="M32" s="11">
        <f t="shared" si="20"/>
        <v>35</v>
      </c>
      <c r="N32" s="11"/>
      <c r="O32" s="11">
        <f t="shared" si="9"/>
        <v>7875</v>
      </c>
      <c r="P32" s="11">
        <f>O32*0.6</f>
        <v>4725</v>
      </c>
      <c r="Q32" s="11">
        <f>(O32)*0.4</f>
        <v>3150</v>
      </c>
      <c r="R32" s="11">
        <f>(35)*F32</f>
        <v>875</v>
      </c>
      <c r="S32" s="11">
        <f>(L32+M32)*H32</f>
        <v>0</v>
      </c>
      <c r="T32" s="11">
        <f t="shared" si="2"/>
        <v>8750</v>
      </c>
      <c r="U32" s="11">
        <f t="shared" si="10"/>
        <v>4725</v>
      </c>
      <c r="V32" s="12">
        <f t="shared" si="17"/>
        <v>567</v>
      </c>
      <c r="W32" s="12">
        <f t="shared" si="3"/>
        <v>60</v>
      </c>
      <c r="X32" s="11">
        <f t="shared" si="4"/>
        <v>8123</v>
      </c>
      <c r="Y32" s="13">
        <f t="shared" si="5"/>
        <v>0</v>
      </c>
      <c r="Z32" s="16"/>
      <c r="AA32" s="11"/>
      <c r="AB32" s="11"/>
      <c r="AC32" s="11">
        <f t="shared" si="16"/>
        <v>8123</v>
      </c>
    </row>
    <row r="33" spans="1:29" ht="16.5" x14ac:dyDescent="0.3">
      <c r="A33" s="26">
        <v>31</v>
      </c>
      <c r="B33" s="24" t="s">
        <v>64</v>
      </c>
      <c r="C33" s="27"/>
      <c r="D33" s="9"/>
      <c r="E33" s="8"/>
      <c r="F33" s="9">
        <v>28</v>
      </c>
      <c r="G33" s="9">
        <f t="shared" si="6"/>
        <v>3</v>
      </c>
      <c r="H33" s="9"/>
      <c r="I33" s="15"/>
      <c r="J33" s="15"/>
      <c r="K33" s="23"/>
      <c r="L33" s="11">
        <v>320</v>
      </c>
      <c r="M33" s="11">
        <f t="shared" si="20"/>
        <v>15</v>
      </c>
      <c r="N33" s="11"/>
      <c r="O33" s="11">
        <f t="shared" si="9"/>
        <v>8960</v>
      </c>
      <c r="P33" s="11">
        <f t="shared" ref="P33:P34" si="21">O33*0.7</f>
        <v>6272</v>
      </c>
      <c r="Q33" s="11">
        <f t="shared" ref="Q33:Q34" si="22">O33*0.3</f>
        <v>2688</v>
      </c>
      <c r="R33" s="11">
        <f>(15)*F33</f>
        <v>420</v>
      </c>
      <c r="S33" s="11">
        <f>(L33+M33)*H33</f>
        <v>0</v>
      </c>
      <c r="T33" s="11">
        <f t="shared" si="2"/>
        <v>9380</v>
      </c>
      <c r="U33" s="11">
        <f t="shared" si="10"/>
        <v>6272</v>
      </c>
      <c r="V33" s="12">
        <f t="shared" si="17"/>
        <v>753</v>
      </c>
      <c r="W33" s="12">
        <f t="shared" si="3"/>
        <v>68</v>
      </c>
      <c r="X33" s="11">
        <f t="shared" si="4"/>
        <v>8559</v>
      </c>
      <c r="Y33" s="13">
        <f t="shared" si="5"/>
        <v>0</v>
      </c>
      <c r="Z33" s="11"/>
      <c r="AA33" s="11"/>
      <c r="AB33" s="11"/>
      <c r="AC33" s="11">
        <f t="shared" si="16"/>
        <v>8559</v>
      </c>
    </row>
    <row r="34" spans="1:29" ht="16.5" x14ac:dyDescent="0.3">
      <c r="A34" s="26">
        <v>32</v>
      </c>
      <c r="B34" s="24" t="s">
        <v>65</v>
      </c>
      <c r="C34" s="27"/>
      <c r="D34" s="9"/>
      <c r="E34" s="8"/>
      <c r="F34" s="9">
        <v>8</v>
      </c>
      <c r="G34" s="9">
        <f t="shared" si="6"/>
        <v>23</v>
      </c>
      <c r="H34" s="9"/>
      <c r="I34" s="15"/>
      <c r="J34" s="15"/>
      <c r="K34" s="23"/>
      <c r="L34" s="11">
        <v>320</v>
      </c>
      <c r="M34" s="11">
        <f t="shared" si="20"/>
        <v>35</v>
      </c>
      <c r="N34" s="11"/>
      <c r="O34" s="11">
        <f t="shared" si="9"/>
        <v>2560</v>
      </c>
      <c r="P34" s="11">
        <f t="shared" si="21"/>
        <v>1792</v>
      </c>
      <c r="Q34" s="11">
        <f t="shared" si="22"/>
        <v>768</v>
      </c>
      <c r="R34" s="11">
        <f>(20+15)*F34</f>
        <v>280</v>
      </c>
      <c r="S34" s="11">
        <f>(L34+M34)*H34+435</f>
        <v>435</v>
      </c>
      <c r="T34" s="11">
        <f t="shared" si="2"/>
        <v>3275</v>
      </c>
      <c r="U34" s="11">
        <f t="shared" si="10"/>
        <v>1792</v>
      </c>
      <c r="V34" s="12">
        <f t="shared" si="17"/>
        <v>215</v>
      </c>
      <c r="W34" s="12">
        <f t="shared" si="3"/>
        <v>20</v>
      </c>
      <c r="X34" s="11">
        <f t="shared" si="4"/>
        <v>3040</v>
      </c>
      <c r="Y34" s="13">
        <f t="shared" si="5"/>
        <v>0</v>
      </c>
      <c r="Z34" s="11"/>
      <c r="AA34" s="11"/>
      <c r="AB34" s="11"/>
      <c r="AC34" s="11">
        <f t="shared" si="16"/>
        <v>3040</v>
      </c>
    </row>
    <row r="35" spans="1:29" s="49" customFormat="1" ht="16.5" hidden="1" x14ac:dyDescent="0.3">
      <c r="A35" s="39">
        <v>33</v>
      </c>
      <c r="B35" s="40" t="s">
        <v>66</v>
      </c>
      <c r="C35" s="41"/>
      <c r="D35" s="42"/>
      <c r="E35" s="43"/>
      <c r="F35" s="42"/>
      <c r="G35" s="9">
        <f t="shared" si="6"/>
        <v>31</v>
      </c>
      <c r="H35" s="42"/>
      <c r="I35" s="44"/>
      <c r="J35" s="44"/>
      <c r="K35" s="45"/>
      <c r="L35" s="46">
        <v>320</v>
      </c>
      <c r="M35" s="46">
        <v>20</v>
      </c>
      <c r="N35" s="46"/>
      <c r="O35" s="46">
        <f t="shared" si="9"/>
        <v>0</v>
      </c>
      <c r="P35" s="46">
        <f t="shared" si="18"/>
        <v>0</v>
      </c>
      <c r="Q35" s="46">
        <f t="shared" si="19"/>
        <v>0</v>
      </c>
      <c r="R35" s="46">
        <f>(20)*F35</f>
        <v>0</v>
      </c>
      <c r="S35" s="46">
        <f t="shared" si="15"/>
        <v>0</v>
      </c>
      <c r="T35" s="46">
        <f t="shared" si="2"/>
        <v>0</v>
      </c>
      <c r="U35" s="46">
        <f t="shared" si="10"/>
        <v>0</v>
      </c>
      <c r="V35" s="47">
        <f t="shared" si="17"/>
        <v>0</v>
      </c>
      <c r="W35" s="47">
        <f t="shared" si="3"/>
        <v>0</v>
      </c>
      <c r="X35" s="46">
        <f t="shared" si="4"/>
        <v>0</v>
      </c>
      <c r="Y35" s="48" t="b">
        <f t="shared" si="5"/>
        <v>0</v>
      </c>
      <c r="Z35" s="46"/>
      <c r="AA35" s="46"/>
      <c r="AB35" s="46"/>
      <c r="AC35" s="11">
        <f t="shared" si="16"/>
        <v>0</v>
      </c>
    </row>
    <row r="36" spans="1:29" ht="15.75" x14ac:dyDescent="0.3">
      <c r="A36" s="8">
        <v>33</v>
      </c>
      <c r="B36" s="65" t="s">
        <v>67</v>
      </c>
      <c r="C36" s="66"/>
      <c r="D36" s="10"/>
      <c r="E36" s="9"/>
      <c r="F36" s="9">
        <v>30</v>
      </c>
      <c r="G36" s="9">
        <f t="shared" si="6"/>
        <v>1</v>
      </c>
      <c r="H36" s="9"/>
      <c r="I36" s="9"/>
      <c r="J36" s="11">
        <v>60000</v>
      </c>
      <c r="K36" s="11">
        <v>60000</v>
      </c>
      <c r="L36" s="11">
        <f>+K36/31</f>
        <v>1935.483870967742</v>
      </c>
      <c r="M36" s="11">
        <v>0</v>
      </c>
      <c r="N36" s="11"/>
      <c r="O36" s="11">
        <f t="shared" si="9"/>
        <v>58064.516129032258</v>
      </c>
      <c r="P36" s="11">
        <f t="shared" ref="P36:P38" si="23">O36*1</f>
        <v>58064.516129032258</v>
      </c>
      <c r="Q36" s="11">
        <v>0</v>
      </c>
      <c r="R36" s="11">
        <v>0</v>
      </c>
      <c r="S36" s="11">
        <f t="shared" si="15"/>
        <v>0</v>
      </c>
      <c r="T36" s="11">
        <f t="shared" si="2"/>
        <v>58064.516129032258</v>
      </c>
      <c r="U36" s="11">
        <v>0</v>
      </c>
      <c r="V36" s="12">
        <f t="shared" si="17"/>
        <v>0</v>
      </c>
      <c r="W36" s="12">
        <f t="shared" si="3"/>
        <v>0</v>
      </c>
      <c r="X36" s="11">
        <f t="shared" si="4"/>
        <v>58064.516129032258</v>
      </c>
      <c r="Y36" s="13">
        <f t="shared" si="5"/>
        <v>200</v>
      </c>
      <c r="Z36" s="11"/>
      <c r="AA36" s="11"/>
      <c r="AB36" s="11"/>
      <c r="AC36" s="11">
        <f>X36-Y36</f>
        <v>57864.516129032258</v>
      </c>
    </row>
    <row r="37" spans="1:29" ht="15.75" x14ac:dyDescent="0.3">
      <c r="A37" s="8">
        <v>34</v>
      </c>
      <c r="B37" s="10" t="s">
        <v>68</v>
      </c>
      <c r="C37" s="10"/>
      <c r="D37" s="10"/>
      <c r="E37" s="9"/>
      <c r="F37" s="9">
        <v>31</v>
      </c>
      <c r="G37" s="9">
        <f t="shared" si="6"/>
        <v>0</v>
      </c>
      <c r="H37" s="9"/>
      <c r="I37" s="9"/>
      <c r="J37" s="11">
        <v>21500</v>
      </c>
      <c r="K37" s="11">
        <v>21500</v>
      </c>
      <c r="L37" s="11">
        <f t="shared" ref="L37:L38" si="24">+K37/31</f>
        <v>693.54838709677415</v>
      </c>
      <c r="M37" s="11">
        <v>0</v>
      </c>
      <c r="N37" s="11"/>
      <c r="O37" s="11">
        <f t="shared" si="9"/>
        <v>21500</v>
      </c>
      <c r="P37" s="11">
        <f t="shared" si="23"/>
        <v>21500</v>
      </c>
      <c r="Q37" s="11">
        <v>0</v>
      </c>
      <c r="R37" s="11">
        <v>0</v>
      </c>
      <c r="S37" s="11">
        <f t="shared" si="15"/>
        <v>0</v>
      </c>
      <c r="T37" s="11">
        <f t="shared" si="2"/>
        <v>21500</v>
      </c>
      <c r="U37" s="11">
        <v>0</v>
      </c>
      <c r="V37" s="12">
        <f t="shared" si="17"/>
        <v>0</v>
      </c>
      <c r="W37" s="12">
        <f>IF(J37&lt;=21000,ROUNDUP(O37*0.75%,0),0)</f>
        <v>0</v>
      </c>
      <c r="X37" s="11">
        <f t="shared" si="4"/>
        <v>21500</v>
      </c>
      <c r="Y37" s="13">
        <f t="shared" si="5"/>
        <v>130</v>
      </c>
      <c r="Z37" s="11"/>
      <c r="AA37" s="11"/>
      <c r="AB37" s="11"/>
      <c r="AC37" s="11">
        <f>X37-Y37</f>
        <v>21370</v>
      </c>
    </row>
    <row r="38" spans="1:29" ht="15.75" x14ac:dyDescent="0.3">
      <c r="A38" s="8">
        <v>35</v>
      </c>
      <c r="B38" s="10" t="s">
        <v>69</v>
      </c>
      <c r="C38" s="10"/>
      <c r="D38" s="10"/>
      <c r="E38" s="9"/>
      <c r="F38" s="9">
        <v>31</v>
      </c>
      <c r="G38" s="9">
        <f t="shared" si="6"/>
        <v>0</v>
      </c>
      <c r="H38" s="9"/>
      <c r="I38" s="9"/>
      <c r="J38" s="11">
        <v>100000</v>
      </c>
      <c r="K38" s="11">
        <v>100000</v>
      </c>
      <c r="L38" s="11">
        <f t="shared" si="24"/>
        <v>3225.8064516129034</v>
      </c>
      <c r="M38" s="11">
        <v>0</v>
      </c>
      <c r="N38" s="11"/>
      <c r="O38" s="11">
        <f t="shared" si="9"/>
        <v>100000</v>
      </c>
      <c r="P38" s="11">
        <f t="shared" si="23"/>
        <v>100000</v>
      </c>
      <c r="Q38" s="11">
        <v>0</v>
      </c>
      <c r="R38" s="11">
        <v>0</v>
      </c>
      <c r="S38" s="11">
        <f t="shared" si="15"/>
        <v>0</v>
      </c>
      <c r="T38" s="11">
        <f t="shared" si="2"/>
        <v>100000</v>
      </c>
      <c r="U38" s="11">
        <v>0</v>
      </c>
      <c r="V38" s="12">
        <v>0</v>
      </c>
      <c r="W38" s="12">
        <f t="shared" si="3"/>
        <v>0</v>
      </c>
      <c r="X38" s="11">
        <f t="shared" si="4"/>
        <v>100000</v>
      </c>
      <c r="Y38" s="13"/>
      <c r="Z38" s="11"/>
      <c r="AA38" s="11"/>
      <c r="AB38" s="11">
        <v>20000</v>
      </c>
      <c r="AC38" s="11">
        <f>X38-AB38</f>
        <v>80000</v>
      </c>
    </row>
    <row r="39" spans="1:29" ht="16.5" x14ac:dyDescent="0.3">
      <c r="A39" s="28" t="s">
        <v>70</v>
      </c>
      <c r="B39" s="28"/>
      <c r="C39" s="28"/>
      <c r="D39" s="28"/>
      <c r="E39" s="29"/>
      <c r="F39" s="28">
        <f>SUM(F3:F38)</f>
        <v>932</v>
      </c>
      <c r="G39" s="9">
        <f>SUM(G3:G38)</f>
        <v>184</v>
      </c>
      <c r="H39" s="9">
        <f>SUM(H3:H38)</f>
        <v>21</v>
      </c>
      <c r="I39" s="15"/>
      <c r="J39" s="15"/>
      <c r="K39" s="30"/>
      <c r="L39" s="31"/>
      <c r="M39" s="31"/>
      <c r="N39" s="31"/>
      <c r="O39" s="32">
        <f t="shared" ref="O39:Z39" si="25">SUM(O3:O38)</f>
        <v>531497.09677419346</v>
      </c>
      <c r="P39" s="32">
        <f>SUM(P3:P38)</f>
        <v>441192.45161290321</v>
      </c>
      <c r="Q39" s="32">
        <f t="shared" si="25"/>
        <v>90304.645161290318</v>
      </c>
      <c r="R39" s="32">
        <f t="shared" si="25"/>
        <v>62387.258064516136</v>
      </c>
      <c r="S39" s="32">
        <f t="shared" si="25"/>
        <v>22659.193548387098</v>
      </c>
      <c r="T39" s="32">
        <f t="shared" si="25"/>
        <v>616543.54838709673</v>
      </c>
      <c r="U39" s="32">
        <f t="shared" si="25"/>
        <v>181498.90322580645</v>
      </c>
      <c r="V39" s="32">
        <f>SUM(V3:V38)</f>
        <v>21779</v>
      </c>
      <c r="W39" s="32">
        <f t="shared" si="25"/>
        <v>1727</v>
      </c>
      <c r="X39" s="32">
        <f>SUM(X3:X38)</f>
        <v>593037.54838709673</v>
      </c>
      <c r="Y39" s="32">
        <f t="shared" si="25"/>
        <v>3220</v>
      </c>
      <c r="Z39" s="32">
        <f t="shared" si="25"/>
        <v>3000</v>
      </c>
      <c r="AA39" s="32">
        <f>SUM(AA3:AA30)</f>
        <v>0</v>
      </c>
      <c r="AB39" s="32">
        <f>SUM(AB3:AB38)</f>
        <v>20000</v>
      </c>
      <c r="AC39" s="32">
        <f>SUM(AC3:AC38)</f>
        <v>566817.54838709673</v>
      </c>
    </row>
    <row r="40" spans="1:29" ht="15.75" x14ac:dyDescent="0.3">
      <c r="A40" s="33"/>
      <c r="B40" s="34"/>
      <c r="C40" s="34"/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5"/>
      <c r="Q40" s="33"/>
      <c r="R40" s="33"/>
      <c r="S40" s="33"/>
      <c r="T40" s="33"/>
      <c r="U40" s="33"/>
      <c r="V40" s="33"/>
      <c r="W40" s="33"/>
      <c r="X40" s="33"/>
      <c r="Y40" s="36"/>
      <c r="Z40" s="33"/>
      <c r="AA40" s="33"/>
      <c r="AB40" s="33"/>
      <c r="AC40" s="35" t="s">
        <v>70</v>
      </c>
    </row>
  </sheetData>
  <mergeCells count="2">
    <mergeCell ref="A1:AC1"/>
    <mergeCell ref="B36:C36"/>
  </mergeCells>
  <pageMargins left="0.25" right="0.25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5"/>
  <sheetViews>
    <sheetView zoomScale="98" zoomScaleNormal="98" workbookViewId="0">
      <pane xSplit="5" ySplit="2" topLeftCell="F21" activePane="bottomRight" state="frozen"/>
      <selection pane="topRight" activeCell="F1" sqref="F1"/>
      <selection pane="bottomLeft" activeCell="A3" sqref="A3"/>
      <selection pane="bottomRight" activeCell="L43" sqref="L43"/>
    </sheetView>
  </sheetViews>
  <sheetFormatPr defaultRowHeight="15" x14ac:dyDescent="0.25"/>
  <cols>
    <col min="1" max="1" width="4.5703125" customWidth="1"/>
    <col min="2" max="2" width="24" customWidth="1"/>
    <col min="3" max="4" width="0" hidden="1" customWidth="1"/>
    <col min="5" max="5" width="0.28515625" hidden="1" customWidth="1"/>
    <col min="6" max="6" width="8.140625" customWidth="1"/>
    <col min="8" max="8" width="7.140625" customWidth="1"/>
    <col min="9" max="9" width="0" hidden="1" customWidth="1"/>
    <col min="15" max="15" width="10" bestFit="1" customWidth="1"/>
    <col min="16" max="16" width="10.5703125" customWidth="1"/>
    <col min="17" max="17" width="10" bestFit="1" customWidth="1"/>
    <col min="20" max="20" width="10.5703125" customWidth="1"/>
    <col min="21" max="21" width="11.140625" bestFit="1" customWidth="1"/>
    <col min="24" max="24" width="11.5703125" customWidth="1"/>
    <col min="27" max="27" width="0" hidden="1" customWidth="1"/>
    <col min="29" max="29" width="10.140625" customWidth="1"/>
  </cols>
  <sheetData>
    <row r="1" spans="1:29" x14ac:dyDescent="0.25">
      <c r="A1" s="62" t="s">
        <v>73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</row>
    <row r="2" spans="1:29" ht="76.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4" t="s">
        <v>18</v>
      </c>
      <c r="T2" s="6" t="s">
        <v>19</v>
      </c>
      <c r="U2" s="3" t="s">
        <v>20</v>
      </c>
      <c r="V2" s="1" t="s">
        <v>21</v>
      </c>
      <c r="W2" s="4" t="s">
        <v>22</v>
      </c>
      <c r="X2" s="4" t="s">
        <v>23</v>
      </c>
      <c r="Y2" s="7" t="s">
        <v>24</v>
      </c>
      <c r="Z2" s="6" t="s">
        <v>25</v>
      </c>
      <c r="AA2" s="6" t="s">
        <v>26</v>
      </c>
      <c r="AB2" s="6" t="s">
        <v>27</v>
      </c>
      <c r="AC2" s="50" t="s">
        <v>28</v>
      </c>
    </row>
    <row r="3" spans="1:29" ht="15.75" x14ac:dyDescent="0.3">
      <c r="A3" s="8">
        <v>1</v>
      </c>
      <c r="B3" s="9" t="s">
        <v>29</v>
      </c>
      <c r="C3" s="10"/>
      <c r="D3" s="10"/>
      <c r="E3" s="9"/>
      <c r="F3" s="9">
        <v>24</v>
      </c>
      <c r="G3" s="9">
        <f>30-F3</f>
        <v>6</v>
      </c>
      <c r="H3" s="9">
        <v>1</v>
      </c>
      <c r="I3" s="9"/>
      <c r="J3" s="8">
        <v>34000</v>
      </c>
      <c r="K3" s="11">
        <f>25000+5000</f>
        <v>30000</v>
      </c>
      <c r="L3" s="11">
        <f t="shared" ref="L3:L13" si="0">ROUND(K3/$F$45,0)</f>
        <v>1000</v>
      </c>
      <c r="M3" s="11">
        <f>ROUND(N3/$F$45,0)</f>
        <v>133</v>
      </c>
      <c r="N3" s="11">
        <f>2000+2000</f>
        <v>4000</v>
      </c>
      <c r="O3" s="11">
        <f>L3*F3</f>
        <v>24000</v>
      </c>
      <c r="P3" s="11">
        <f t="shared" ref="P3" si="1">O3*1</f>
        <v>24000</v>
      </c>
      <c r="Q3" s="11">
        <v>0</v>
      </c>
      <c r="R3" s="11">
        <f t="shared" ref="R3:R13" si="2">M3*F3</f>
        <v>3192</v>
      </c>
      <c r="S3" s="11">
        <f t="shared" ref="S3:S9" si="3">(L3+M3)*H3</f>
        <v>1133</v>
      </c>
      <c r="T3" s="11">
        <f t="shared" ref="T3:T39" si="4">O3+((R3)+S3)</f>
        <v>28325</v>
      </c>
      <c r="U3" s="11">
        <v>0</v>
      </c>
      <c r="V3" s="12">
        <f>IF(K3&lt;=15000,ROUND(U3*12%,0),0)</f>
        <v>0</v>
      </c>
      <c r="W3" s="12">
        <f>IF(J3&lt;=21000,ROUND(O3*0.75%,0),0)</f>
        <v>0</v>
      </c>
      <c r="X3" s="11">
        <f t="shared" ref="X3:X39" si="5">T3-V3-W3</f>
        <v>28325</v>
      </c>
      <c r="Y3" s="13">
        <f t="shared" ref="Y3:Y38" si="6">IF(T3&gt;40000,200,IF(T3&gt;25000,150,IF(T3&gt;15000,130,IF(T3&gt;10000,110,IF(T3&gt;0,0)))))</f>
        <v>150</v>
      </c>
      <c r="Z3" s="11"/>
      <c r="AA3" s="11"/>
      <c r="AB3" s="11"/>
      <c r="AC3" s="11">
        <f>T3-V3-W3-Y3-Z3-AB3</f>
        <v>28175</v>
      </c>
    </row>
    <row r="4" spans="1:29" s="38" customFormat="1" ht="16.5" x14ac:dyDescent="0.3">
      <c r="A4" s="8">
        <v>2</v>
      </c>
      <c r="B4" s="10" t="s">
        <v>30</v>
      </c>
      <c r="C4" s="10"/>
      <c r="D4" s="10"/>
      <c r="E4" s="14"/>
      <c r="F4" s="9">
        <v>25</v>
      </c>
      <c r="G4" s="9">
        <f t="shared" ref="G4:G39" si="7">30-F4</f>
        <v>5</v>
      </c>
      <c r="H4" s="9">
        <v>3</v>
      </c>
      <c r="I4" s="9"/>
      <c r="J4" s="8">
        <v>48000</v>
      </c>
      <c r="K4" s="11">
        <f>30000+3000+2000</f>
        <v>35000</v>
      </c>
      <c r="L4" s="11">
        <f t="shared" si="0"/>
        <v>1167</v>
      </c>
      <c r="M4" s="11">
        <f>ROUND(N4/$F$45,0)</f>
        <v>433</v>
      </c>
      <c r="N4" s="11">
        <f>7500+2500+3000</f>
        <v>13000</v>
      </c>
      <c r="O4" s="11">
        <f t="shared" ref="O4:O39" si="8">L4*F4</f>
        <v>29175</v>
      </c>
      <c r="P4" s="11">
        <f>O4*1</f>
        <v>29175</v>
      </c>
      <c r="Q4" s="11">
        <v>0</v>
      </c>
      <c r="R4" s="11">
        <f t="shared" si="2"/>
        <v>10825</v>
      </c>
      <c r="S4" s="11">
        <f t="shared" si="3"/>
        <v>4800</v>
      </c>
      <c r="T4" s="11">
        <f t="shared" si="4"/>
        <v>44800</v>
      </c>
      <c r="U4" s="11">
        <v>0</v>
      </c>
      <c r="V4" s="12">
        <f>IF(K4&lt;=15000,ROUND(U4*12%,0),0)</f>
        <v>0</v>
      </c>
      <c r="W4" s="12">
        <f>IF(J4&lt;=21000,ROUND(O4*0.75%,0),0)</f>
        <v>0</v>
      </c>
      <c r="X4" s="11">
        <f t="shared" si="5"/>
        <v>44800</v>
      </c>
      <c r="Y4" s="13">
        <f t="shared" si="6"/>
        <v>200</v>
      </c>
      <c r="Z4" s="11"/>
      <c r="AA4" s="11"/>
      <c r="AB4" s="11"/>
      <c r="AC4" s="11">
        <f>T4-V4-W4-Y4-Z4-AB4</f>
        <v>44600</v>
      </c>
    </row>
    <row r="5" spans="1:29" s="38" customFormat="1" ht="16.5" x14ac:dyDescent="0.3">
      <c r="A5" s="8">
        <v>3</v>
      </c>
      <c r="B5" s="9" t="s">
        <v>31</v>
      </c>
      <c r="C5" s="10"/>
      <c r="D5" s="10"/>
      <c r="E5" s="14"/>
      <c r="F5" s="9">
        <v>30</v>
      </c>
      <c r="G5" s="9">
        <f t="shared" si="7"/>
        <v>0</v>
      </c>
      <c r="H5" s="9">
        <v>4</v>
      </c>
      <c r="I5" s="9"/>
      <c r="J5" s="8">
        <v>25200</v>
      </c>
      <c r="K5" s="11">
        <v>23200</v>
      </c>
      <c r="L5" s="11">
        <f t="shared" si="0"/>
        <v>773</v>
      </c>
      <c r="M5" s="11">
        <f t="shared" ref="M5:M13" si="9">ROUND(N5/$F$45,0)</f>
        <v>67</v>
      </c>
      <c r="N5" s="11">
        <v>2000</v>
      </c>
      <c r="O5" s="11">
        <f t="shared" si="8"/>
        <v>23190</v>
      </c>
      <c r="P5" s="11">
        <f>O5*54%</f>
        <v>12522.6</v>
      </c>
      <c r="Q5" s="11">
        <f>O5*0.46</f>
        <v>10667.4</v>
      </c>
      <c r="R5" s="11">
        <f t="shared" si="2"/>
        <v>2010</v>
      </c>
      <c r="S5" s="11">
        <f t="shared" si="3"/>
        <v>3360</v>
      </c>
      <c r="T5" s="11">
        <f t="shared" si="4"/>
        <v>28560</v>
      </c>
      <c r="U5" s="11">
        <f t="shared" ref="U5:U35" si="10">+P5</f>
        <v>12522.6</v>
      </c>
      <c r="V5" s="12">
        <f>IF(U5&lt;=15000,ROUND(U5*12%,0),0)</f>
        <v>1503</v>
      </c>
      <c r="W5" s="12">
        <v>95</v>
      </c>
      <c r="X5" s="11">
        <f t="shared" si="5"/>
        <v>26962</v>
      </c>
      <c r="Y5" s="13">
        <f t="shared" si="6"/>
        <v>150</v>
      </c>
      <c r="Z5" s="11"/>
      <c r="AA5" s="11"/>
      <c r="AB5" s="11"/>
      <c r="AC5" s="11">
        <f>T5-V5-W5-Y5-Z5-AB5-AA5</f>
        <v>26812</v>
      </c>
    </row>
    <row r="6" spans="1:29" s="38" customFormat="1" ht="16.5" x14ac:dyDescent="0.3">
      <c r="A6" s="8">
        <v>4</v>
      </c>
      <c r="B6" s="10" t="s">
        <v>32</v>
      </c>
      <c r="C6" s="10"/>
      <c r="D6" s="10"/>
      <c r="E6" s="9" t="s">
        <v>33</v>
      </c>
      <c r="F6" s="9">
        <v>29</v>
      </c>
      <c r="G6" s="9">
        <f t="shared" si="7"/>
        <v>1</v>
      </c>
      <c r="H6" s="9">
        <v>1</v>
      </c>
      <c r="I6" s="15"/>
      <c r="J6" s="8">
        <v>25000</v>
      </c>
      <c r="K6" s="11">
        <v>23000</v>
      </c>
      <c r="L6" s="11">
        <f t="shared" si="0"/>
        <v>767</v>
      </c>
      <c r="M6" s="11">
        <f t="shared" si="9"/>
        <v>67</v>
      </c>
      <c r="N6" s="11">
        <v>2000</v>
      </c>
      <c r="O6" s="11">
        <f>L6*F6</f>
        <v>22243</v>
      </c>
      <c r="P6" s="11">
        <f t="shared" ref="P6" si="11">O6*1</f>
        <v>22243</v>
      </c>
      <c r="Q6" s="11">
        <v>0</v>
      </c>
      <c r="R6" s="11">
        <f t="shared" si="2"/>
        <v>1943</v>
      </c>
      <c r="S6" s="11">
        <f>(L6+M6)*H6</f>
        <v>834</v>
      </c>
      <c r="T6" s="11">
        <f t="shared" si="4"/>
        <v>25020</v>
      </c>
      <c r="U6" s="11">
        <v>0</v>
      </c>
      <c r="V6" s="12">
        <f t="shared" ref="V6" si="12">IF(K6&lt;=15000,ROUND(U6*12%,0),0)</f>
        <v>0</v>
      </c>
      <c r="W6" s="12">
        <f t="shared" ref="W6:W11" si="13">IF(J6&lt;=21000,ROUND(O6*0.75%,0),0)</f>
        <v>0</v>
      </c>
      <c r="X6" s="11">
        <f t="shared" si="5"/>
        <v>25020</v>
      </c>
      <c r="Y6" s="13">
        <f t="shared" si="6"/>
        <v>150</v>
      </c>
      <c r="Z6" s="11"/>
      <c r="AA6" s="11"/>
      <c r="AB6" s="11"/>
      <c r="AC6" s="11">
        <f t="shared" ref="AC6" si="14">T6-V6-W6-Y6-Z6-AB6</f>
        <v>24870</v>
      </c>
    </row>
    <row r="7" spans="1:29" s="38" customFormat="1" ht="16.5" x14ac:dyDescent="0.3">
      <c r="A7" s="8">
        <v>5</v>
      </c>
      <c r="B7" s="10" t="s">
        <v>34</v>
      </c>
      <c r="C7" s="10"/>
      <c r="D7" s="10"/>
      <c r="E7" s="9" t="s">
        <v>33</v>
      </c>
      <c r="F7" s="9">
        <v>5</v>
      </c>
      <c r="G7" s="9">
        <f>30-F7</f>
        <v>25</v>
      </c>
      <c r="H7" s="9">
        <v>1</v>
      </c>
      <c r="I7" s="15"/>
      <c r="J7" s="8">
        <v>20100</v>
      </c>
      <c r="K7" s="11">
        <v>18100</v>
      </c>
      <c r="L7" s="11">
        <f t="shared" si="0"/>
        <v>603</v>
      </c>
      <c r="M7" s="11">
        <f t="shared" si="9"/>
        <v>67</v>
      </c>
      <c r="N7" s="11">
        <v>2000</v>
      </c>
      <c r="O7" s="11">
        <f>L7*F7</f>
        <v>3015</v>
      </c>
      <c r="P7" s="11">
        <f>O7*0.6</f>
        <v>1809</v>
      </c>
      <c r="Q7" s="11">
        <f>O7*0.4</f>
        <v>1206</v>
      </c>
      <c r="R7" s="11">
        <f t="shared" si="2"/>
        <v>335</v>
      </c>
      <c r="S7" s="11">
        <f>(L7+M7)*H7</f>
        <v>670</v>
      </c>
      <c r="T7" s="11">
        <f t="shared" si="4"/>
        <v>4020</v>
      </c>
      <c r="U7" s="11">
        <f t="shared" ref="U7" si="15">+P7</f>
        <v>1809</v>
      </c>
      <c r="V7" s="12">
        <f>IF(U7&lt;=15000,ROUND(U7*12%,0),0)</f>
        <v>217</v>
      </c>
      <c r="W7" s="12">
        <f t="shared" si="13"/>
        <v>23</v>
      </c>
      <c r="X7" s="11">
        <f t="shared" si="5"/>
        <v>3780</v>
      </c>
      <c r="Y7" s="13">
        <f t="shared" si="6"/>
        <v>0</v>
      </c>
      <c r="Z7" s="16"/>
      <c r="AA7" s="11"/>
      <c r="AB7" s="11"/>
      <c r="AC7" s="11">
        <f>T7-V7-W7-Y7-Z7-AB7</f>
        <v>3780</v>
      </c>
    </row>
    <row r="8" spans="1:29" s="38" customFormat="1" ht="16.5" x14ac:dyDescent="0.3">
      <c r="A8" s="8">
        <v>6</v>
      </c>
      <c r="B8" s="10" t="s">
        <v>35</v>
      </c>
      <c r="C8" s="10"/>
      <c r="D8" s="10"/>
      <c r="E8" s="9" t="s">
        <v>33</v>
      </c>
      <c r="F8" s="9">
        <v>30</v>
      </c>
      <c r="G8" s="9">
        <f t="shared" si="7"/>
        <v>0</v>
      </c>
      <c r="H8" s="9"/>
      <c r="I8" s="15"/>
      <c r="J8" s="8">
        <v>17950</v>
      </c>
      <c r="K8" s="11">
        <f>12000+1000</f>
        <v>13000</v>
      </c>
      <c r="L8" s="11">
        <f t="shared" si="0"/>
        <v>433</v>
      </c>
      <c r="M8" s="11">
        <f t="shared" si="9"/>
        <v>165</v>
      </c>
      <c r="N8" s="11">
        <f>2000+1000+1000+950</f>
        <v>4950</v>
      </c>
      <c r="O8" s="11">
        <f t="shared" si="8"/>
        <v>12990</v>
      </c>
      <c r="P8" s="11">
        <f>O8*0.7</f>
        <v>9093</v>
      </c>
      <c r="Q8" s="11">
        <f>O8*0.3</f>
        <v>3897</v>
      </c>
      <c r="R8" s="11">
        <f t="shared" si="2"/>
        <v>4950</v>
      </c>
      <c r="S8" s="11">
        <f t="shared" si="3"/>
        <v>0</v>
      </c>
      <c r="T8" s="11">
        <f t="shared" si="4"/>
        <v>17940</v>
      </c>
      <c r="U8" s="11">
        <f t="shared" si="10"/>
        <v>9093</v>
      </c>
      <c r="V8" s="12">
        <f>IF(K8&lt;=15000,ROUND(U8*12%,0),0)</f>
        <v>1091</v>
      </c>
      <c r="W8" s="12">
        <f t="shared" si="13"/>
        <v>97</v>
      </c>
      <c r="X8" s="11">
        <f t="shared" si="5"/>
        <v>16752</v>
      </c>
      <c r="Y8" s="13">
        <f t="shared" si="6"/>
        <v>130</v>
      </c>
      <c r="Z8" s="16"/>
      <c r="AA8" s="11"/>
      <c r="AB8" s="11"/>
      <c r="AC8" s="11">
        <f t="shared" ref="AC8:AC9" si="16">T8-V8-W8-Y8-Z8-AB8</f>
        <v>16622</v>
      </c>
    </row>
    <row r="9" spans="1:29" ht="16.5" x14ac:dyDescent="0.3">
      <c r="A9" s="8">
        <v>7</v>
      </c>
      <c r="B9" s="10" t="s">
        <v>36</v>
      </c>
      <c r="C9" s="17"/>
      <c r="D9" s="17"/>
      <c r="E9" s="18" t="s">
        <v>33</v>
      </c>
      <c r="F9" s="9">
        <v>29</v>
      </c>
      <c r="G9" s="9">
        <f t="shared" si="7"/>
        <v>1</v>
      </c>
      <c r="H9" s="18"/>
      <c r="I9" s="19"/>
      <c r="J9" s="8">
        <v>13500</v>
      </c>
      <c r="K9" s="20">
        <v>10500</v>
      </c>
      <c r="L9" s="11">
        <f t="shared" si="0"/>
        <v>350</v>
      </c>
      <c r="M9" s="11">
        <f t="shared" si="9"/>
        <v>100</v>
      </c>
      <c r="N9" s="20">
        <f>1500+1500</f>
        <v>3000</v>
      </c>
      <c r="O9" s="20">
        <f t="shared" si="8"/>
        <v>10150</v>
      </c>
      <c r="P9" s="11">
        <f>O9*0.7</f>
        <v>7105</v>
      </c>
      <c r="Q9" s="11">
        <f>O9*0.3</f>
        <v>3045</v>
      </c>
      <c r="R9" s="11">
        <f t="shared" si="2"/>
        <v>2900</v>
      </c>
      <c r="S9" s="11">
        <f t="shared" si="3"/>
        <v>0</v>
      </c>
      <c r="T9" s="11">
        <f t="shared" si="4"/>
        <v>13050</v>
      </c>
      <c r="U9" s="20">
        <f t="shared" si="10"/>
        <v>7105</v>
      </c>
      <c r="V9" s="12">
        <f>IF(K9&lt;=15000,ROUND(U9*12%,0),0)</f>
        <v>853</v>
      </c>
      <c r="W9" s="12">
        <f t="shared" si="13"/>
        <v>76</v>
      </c>
      <c r="X9" s="11">
        <f t="shared" si="5"/>
        <v>12121</v>
      </c>
      <c r="Y9" s="13">
        <f t="shared" si="6"/>
        <v>110</v>
      </c>
      <c r="Z9" s="21"/>
      <c r="AA9" s="20"/>
      <c r="AB9" s="20"/>
      <c r="AC9" s="11">
        <f t="shared" si="16"/>
        <v>12011</v>
      </c>
    </row>
    <row r="10" spans="1:29" s="38" customFormat="1" ht="16.5" x14ac:dyDescent="0.3">
      <c r="A10" s="8">
        <v>8</v>
      </c>
      <c r="B10" s="10" t="s">
        <v>37</v>
      </c>
      <c r="C10" s="10"/>
      <c r="D10" s="10"/>
      <c r="E10" s="8"/>
      <c r="F10" s="9">
        <v>27</v>
      </c>
      <c r="G10" s="9">
        <f t="shared" si="7"/>
        <v>3</v>
      </c>
      <c r="H10" s="9"/>
      <c r="I10" s="15"/>
      <c r="J10" s="8">
        <v>21000</v>
      </c>
      <c r="K10" s="11">
        <f>15000+1000+1000</f>
        <v>17000</v>
      </c>
      <c r="L10" s="11">
        <f t="shared" si="0"/>
        <v>567</v>
      </c>
      <c r="M10" s="11">
        <f t="shared" si="9"/>
        <v>133</v>
      </c>
      <c r="N10" s="11">
        <f>2000+2000</f>
        <v>4000</v>
      </c>
      <c r="O10" s="11">
        <f t="shared" si="8"/>
        <v>15309</v>
      </c>
      <c r="P10" s="11">
        <f>O10*0.7</f>
        <v>10716.3</v>
      </c>
      <c r="Q10" s="11">
        <f>O10*0.3</f>
        <v>4592.7</v>
      </c>
      <c r="R10" s="11">
        <f t="shared" si="2"/>
        <v>3591</v>
      </c>
      <c r="S10" s="11">
        <f>L10*H10</f>
        <v>0</v>
      </c>
      <c r="T10" s="11">
        <f t="shared" si="4"/>
        <v>18900</v>
      </c>
      <c r="U10" s="11">
        <f t="shared" si="10"/>
        <v>10716.3</v>
      </c>
      <c r="V10" s="12">
        <f>IF(U10&lt;=15000,ROUND(U10*12%,0),0)</f>
        <v>1286</v>
      </c>
      <c r="W10" s="12">
        <f t="shared" si="13"/>
        <v>115</v>
      </c>
      <c r="X10" s="11">
        <f t="shared" si="5"/>
        <v>17499</v>
      </c>
      <c r="Y10" s="13">
        <f t="shared" si="6"/>
        <v>130</v>
      </c>
      <c r="Z10" s="37"/>
      <c r="AA10" s="11"/>
      <c r="AB10" s="11"/>
      <c r="AC10" s="11">
        <f>T10-V10-W10-Y10-Z10-AB10-AA10</f>
        <v>17369</v>
      </c>
    </row>
    <row r="11" spans="1:29" s="38" customFormat="1" ht="16.5" x14ac:dyDescent="0.3">
      <c r="A11" s="8">
        <v>9</v>
      </c>
      <c r="B11" s="10" t="s">
        <v>38</v>
      </c>
      <c r="C11" s="10"/>
      <c r="D11" s="10"/>
      <c r="E11" s="14"/>
      <c r="F11" s="9">
        <v>29</v>
      </c>
      <c r="G11" s="9">
        <f t="shared" si="7"/>
        <v>1</v>
      </c>
      <c r="H11" s="9"/>
      <c r="I11" s="9"/>
      <c r="J11" s="8">
        <v>10280</v>
      </c>
      <c r="K11" s="11">
        <v>10280</v>
      </c>
      <c r="L11" s="11">
        <f t="shared" si="0"/>
        <v>343</v>
      </c>
      <c r="M11" s="11">
        <f t="shared" si="9"/>
        <v>0</v>
      </c>
      <c r="N11" s="11"/>
      <c r="O11" s="11">
        <f t="shared" si="8"/>
        <v>9947</v>
      </c>
      <c r="P11" s="11">
        <f>O11*0.6</f>
        <v>5968.2</v>
      </c>
      <c r="Q11" s="11">
        <f>O11*0.4</f>
        <v>3978.8</v>
      </c>
      <c r="R11" s="11">
        <f t="shared" si="2"/>
        <v>0</v>
      </c>
      <c r="S11" s="11">
        <f t="shared" ref="S11:S39" si="17">(L11+M11)*H11</f>
        <v>0</v>
      </c>
      <c r="T11" s="11">
        <f t="shared" si="4"/>
        <v>9947</v>
      </c>
      <c r="U11" s="11">
        <f t="shared" si="10"/>
        <v>5968.2</v>
      </c>
      <c r="V11" s="12">
        <f>IF(K11&lt;=15000,ROUND(U11*12%,0),0)</f>
        <v>716</v>
      </c>
      <c r="W11" s="12">
        <f t="shared" si="13"/>
        <v>75</v>
      </c>
      <c r="X11" s="11">
        <f t="shared" si="5"/>
        <v>9156</v>
      </c>
      <c r="Y11" s="13">
        <f t="shared" si="6"/>
        <v>0</v>
      </c>
      <c r="Z11" s="37"/>
      <c r="AA11" s="11"/>
      <c r="AB11" s="11"/>
      <c r="AC11" s="11">
        <f t="shared" ref="AC11:AC35" si="18">T11-V11-W11-Y11-Z11-AB11</f>
        <v>9156</v>
      </c>
    </row>
    <row r="12" spans="1:29" s="38" customFormat="1" ht="16.5" x14ac:dyDescent="0.3">
      <c r="A12" s="8">
        <v>10</v>
      </c>
      <c r="B12" s="10" t="s">
        <v>39</v>
      </c>
      <c r="C12" s="10"/>
      <c r="D12" s="10"/>
      <c r="E12" s="14"/>
      <c r="F12" s="9">
        <v>29</v>
      </c>
      <c r="G12" s="9">
        <f t="shared" si="7"/>
        <v>1</v>
      </c>
      <c r="H12" s="9">
        <v>1</v>
      </c>
      <c r="I12" s="9"/>
      <c r="J12" s="8">
        <v>21100</v>
      </c>
      <c r="K12" s="11">
        <v>21100</v>
      </c>
      <c r="L12" s="11">
        <f t="shared" si="0"/>
        <v>703</v>
      </c>
      <c r="M12" s="11">
        <f t="shared" si="9"/>
        <v>0</v>
      </c>
      <c r="N12" s="11"/>
      <c r="O12" s="11">
        <f t="shared" si="8"/>
        <v>20387</v>
      </c>
      <c r="P12" s="11">
        <f>O12*0.5</f>
        <v>10193.5</v>
      </c>
      <c r="Q12" s="11">
        <f>O12*0.5</f>
        <v>10193.5</v>
      </c>
      <c r="R12" s="11">
        <f t="shared" si="2"/>
        <v>0</v>
      </c>
      <c r="S12" s="11">
        <f t="shared" si="17"/>
        <v>703</v>
      </c>
      <c r="T12" s="11">
        <f t="shared" si="4"/>
        <v>21090</v>
      </c>
      <c r="U12" s="11">
        <f t="shared" si="10"/>
        <v>10193.5</v>
      </c>
      <c r="V12" s="12">
        <f>IF(K11&lt;=15000,ROUND(U12*12%,0),0)</f>
        <v>1223</v>
      </c>
      <c r="W12" s="12">
        <v>83</v>
      </c>
      <c r="X12" s="11">
        <f t="shared" si="5"/>
        <v>19784</v>
      </c>
      <c r="Y12" s="13">
        <f t="shared" si="6"/>
        <v>130</v>
      </c>
      <c r="Z12" s="16"/>
      <c r="AA12" s="11"/>
      <c r="AB12" s="11"/>
      <c r="AC12" s="11">
        <f t="shared" si="18"/>
        <v>19654</v>
      </c>
    </row>
    <row r="13" spans="1:29" s="38" customFormat="1" ht="16.5" x14ac:dyDescent="0.3">
      <c r="A13" s="8">
        <v>11</v>
      </c>
      <c r="B13" s="10" t="s">
        <v>40</v>
      </c>
      <c r="C13" s="10"/>
      <c r="D13" s="10"/>
      <c r="E13" s="14"/>
      <c r="F13" s="9">
        <v>29</v>
      </c>
      <c r="G13" s="9">
        <f t="shared" si="7"/>
        <v>1</v>
      </c>
      <c r="H13" s="9"/>
      <c r="I13" s="9"/>
      <c r="J13" s="8">
        <v>7380</v>
      </c>
      <c r="K13" s="11">
        <f>6500</f>
        <v>6500</v>
      </c>
      <c r="L13" s="11">
        <f t="shared" si="0"/>
        <v>217</v>
      </c>
      <c r="M13" s="11">
        <f t="shared" si="9"/>
        <v>29</v>
      </c>
      <c r="N13" s="11">
        <f>300+580</f>
        <v>880</v>
      </c>
      <c r="O13" s="11">
        <f t="shared" si="8"/>
        <v>6293</v>
      </c>
      <c r="P13" s="11">
        <f>O13*1</f>
        <v>6293</v>
      </c>
      <c r="Q13" s="11">
        <v>0</v>
      </c>
      <c r="R13" s="11">
        <f t="shared" si="2"/>
        <v>841</v>
      </c>
      <c r="S13" s="11">
        <f t="shared" si="17"/>
        <v>0</v>
      </c>
      <c r="T13" s="11">
        <f t="shared" si="4"/>
        <v>7134</v>
      </c>
      <c r="U13" s="11">
        <f t="shared" si="10"/>
        <v>6293</v>
      </c>
      <c r="V13" s="12">
        <f t="shared" ref="V13:V38" si="19">IF(K13&lt;=15000,ROUND(U13*12%,0),0)</f>
        <v>755</v>
      </c>
      <c r="W13" s="12">
        <f t="shared" ref="W13:W18" si="20">IF(J13&lt;=21000,ROUND(O13*0.75%,0),0)</f>
        <v>47</v>
      </c>
      <c r="X13" s="11">
        <f t="shared" si="5"/>
        <v>6332</v>
      </c>
      <c r="Y13" s="13">
        <f t="shared" si="6"/>
        <v>0</v>
      </c>
      <c r="Z13" s="16"/>
      <c r="AA13" s="11"/>
      <c r="AB13" s="11"/>
      <c r="AC13" s="11">
        <f t="shared" si="18"/>
        <v>6332</v>
      </c>
    </row>
    <row r="14" spans="1:29" s="61" customFormat="1" ht="16.5" x14ac:dyDescent="0.3">
      <c r="A14" s="54">
        <v>12</v>
      </c>
      <c r="B14" s="55" t="s">
        <v>41</v>
      </c>
      <c r="C14" s="55"/>
      <c r="D14" s="55"/>
      <c r="E14" s="55" t="s">
        <v>42</v>
      </c>
      <c r="F14" s="55">
        <v>29</v>
      </c>
      <c r="G14" s="55">
        <f t="shared" si="7"/>
        <v>1</v>
      </c>
      <c r="H14" s="55"/>
      <c r="I14" s="56"/>
      <c r="J14" s="56"/>
      <c r="K14" s="57"/>
      <c r="L14" s="57">
        <v>220</v>
      </c>
      <c r="M14" s="57">
        <v>10</v>
      </c>
      <c r="N14" s="57"/>
      <c r="O14" s="57">
        <f t="shared" si="8"/>
        <v>6380</v>
      </c>
      <c r="P14" s="57">
        <f t="shared" ref="P14:P35" si="21">O14*0.7</f>
        <v>4466</v>
      </c>
      <c r="Q14" s="57">
        <f t="shared" ref="Q14:Q35" si="22">O14*0.3</f>
        <v>1914</v>
      </c>
      <c r="R14" s="57">
        <f>(10)*F14</f>
        <v>290</v>
      </c>
      <c r="S14" s="57">
        <f t="shared" si="17"/>
        <v>0</v>
      </c>
      <c r="T14" s="57">
        <f t="shared" si="4"/>
        <v>6670</v>
      </c>
      <c r="U14" s="57">
        <f t="shared" si="10"/>
        <v>4466</v>
      </c>
      <c r="V14" s="58">
        <f t="shared" si="19"/>
        <v>536</v>
      </c>
      <c r="W14" s="12">
        <f t="shared" si="20"/>
        <v>48</v>
      </c>
      <c r="X14" s="57">
        <f t="shared" si="5"/>
        <v>6086</v>
      </c>
      <c r="Y14" s="59">
        <f t="shared" si="6"/>
        <v>0</v>
      </c>
      <c r="Z14" s="60"/>
      <c r="AA14" s="57"/>
      <c r="AB14" s="57"/>
      <c r="AC14" s="57">
        <f t="shared" si="18"/>
        <v>6086</v>
      </c>
    </row>
    <row r="15" spans="1:29" ht="16.5" x14ac:dyDescent="0.3">
      <c r="A15" s="8">
        <v>13</v>
      </c>
      <c r="B15" s="9" t="s">
        <v>43</v>
      </c>
      <c r="C15" s="9"/>
      <c r="D15" s="9"/>
      <c r="E15" s="9" t="s">
        <v>42</v>
      </c>
      <c r="F15" s="9">
        <v>27</v>
      </c>
      <c r="G15" s="9">
        <f t="shared" si="7"/>
        <v>3</v>
      </c>
      <c r="H15" s="9">
        <v>1</v>
      </c>
      <c r="I15" s="15" t="s">
        <v>44</v>
      </c>
      <c r="J15" s="15"/>
      <c r="K15" s="11"/>
      <c r="L15" s="11">
        <v>325</v>
      </c>
      <c r="M15" s="11">
        <f t="shared" ref="M15:M34" si="23">R15/F15</f>
        <v>75</v>
      </c>
      <c r="N15" s="11"/>
      <c r="O15" s="11">
        <f t="shared" si="8"/>
        <v>8775</v>
      </c>
      <c r="P15" s="11">
        <f t="shared" si="21"/>
        <v>6142.5</v>
      </c>
      <c r="Q15" s="11">
        <f t="shared" si="22"/>
        <v>2632.5</v>
      </c>
      <c r="R15" s="11">
        <f>(15+45+15)*F15</f>
        <v>2025</v>
      </c>
      <c r="S15" s="11">
        <f t="shared" ref="S15:S34" si="24">(L15+M15)*H15</f>
        <v>400</v>
      </c>
      <c r="T15" s="11">
        <f t="shared" si="4"/>
        <v>11200</v>
      </c>
      <c r="U15" s="11">
        <f t="shared" si="10"/>
        <v>6142.5</v>
      </c>
      <c r="V15" s="12">
        <f t="shared" si="19"/>
        <v>737</v>
      </c>
      <c r="W15" s="12">
        <f t="shared" si="20"/>
        <v>66</v>
      </c>
      <c r="X15" s="11">
        <f t="shared" si="5"/>
        <v>10397</v>
      </c>
      <c r="Y15" s="13">
        <f t="shared" si="6"/>
        <v>110</v>
      </c>
      <c r="Z15" s="16"/>
      <c r="AA15" s="11"/>
      <c r="AB15" s="11"/>
      <c r="AC15" s="11">
        <f t="shared" si="18"/>
        <v>10287</v>
      </c>
    </row>
    <row r="16" spans="1:29" ht="16.5" x14ac:dyDescent="0.3">
      <c r="A16" s="8">
        <v>14</v>
      </c>
      <c r="B16" s="9" t="s">
        <v>45</v>
      </c>
      <c r="C16" s="9"/>
      <c r="D16" s="9"/>
      <c r="E16" s="9" t="s">
        <v>42</v>
      </c>
      <c r="F16" s="9">
        <v>18</v>
      </c>
      <c r="G16" s="9">
        <f t="shared" si="7"/>
        <v>12</v>
      </c>
      <c r="H16" s="9"/>
      <c r="I16" s="15" t="s">
        <v>46</v>
      </c>
      <c r="J16" s="15"/>
      <c r="K16" s="11"/>
      <c r="L16" s="11">
        <v>325</v>
      </c>
      <c r="M16" s="11">
        <f t="shared" si="23"/>
        <v>50</v>
      </c>
      <c r="N16" s="11"/>
      <c r="O16" s="11">
        <f t="shared" si="8"/>
        <v>5850</v>
      </c>
      <c r="P16" s="11">
        <f t="shared" si="21"/>
        <v>4094.9999999999995</v>
      </c>
      <c r="Q16" s="11">
        <f t="shared" si="22"/>
        <v>1755</v>
      </c>
      <c r="R16" s="11">
        <f>(15+20+15)*F16</f>
        <v>900</v>
      </c>
      <c r="S16" s="11">
        <f t="shared" si="24"/>
        <v>0</v>
      </c>
      <c r="T16" s="11">
        <f t="shared" si="4"/>
        <v>6750</v>
      </c>
      <c r="U16" s="11">
        <f t="shared" si="10"/>
        <v>4094.9999999999995</v>
      </c>
      <c r="V16" s="12">
        <f t="shared" si="19"/>
        <v>491</v>
      </c>
      <c r="W16" s="12">
        <f t="shared" si="20"/>
        <v>44</v>
      </c>
      <c r="X16" s="11">
        <f t="shared" si="5"/>
        <v>6215</v>
      </c>
      <c r="Y16" s="13">
        <f t="shared" si="6"/>
        <v>0</v>
      </c>
      <c r="Z16" s="16"/>
      <c r="AA16" s="11"/>
      <c r="AB16" s="11"/>
      <c r="AC16" s="11">
        <f t="shared" si="18"/>
        <v>6215</v>
      </c>
    </row>
    <row r="17" spans="1:29" ht="16.5" x14ac:dyDescent="0.3">
      <c r="A17" s="8">
        <v>15</v>
      </c>
      <c r="B17" s="9" t="s">
        <v>47</v>
      </c>
      <c r="C17" s="9"/>
      <c r="D17" s="9"/>
      <c r="E17" s="9" t="s">
        <v>42</v>
      </c>
      <c r="F17" s="9">
        <v>27</v>
      </c>
      <c r="G17" s="9">
        <f t="shared" si="7"/>
        <v>3</v>
      </c>
      <c r="H17" s="9">
        <v>1</v>
      </c>
      <c r="I17" s="15" t="s">
        <v>44</v>
      </c>
      <c r="J17" s="15"/>
      <c r="K17" s="11"/>
      <c r="L17" s="11">
        <v>325</v>
      </c>
      <c r="M17" s="11">
        <f t="shared" si="23"/>
        <v>75</v>
      </c>
      <c r="N17" s="11"/>
      <c r="O17" s="11">
        <f>L17*F17</f>
        <v>8775</v>
      </c>
      <c r="P17" s="11">
        <f t="shared" si="21"/>
        <v>6142.5</v>
      </c>
      <c r="Q17" s="11">
        <f t="shared" si="22"/>
        <v>2632.5</v>
      </c>
      <c r="R17" s="11">
        <f>(35+25+15)*F17</f>
        <v>2025</v>
      </c>
      <c r="S17" s="11">
        <f t="shared" si="24"/>
        <v>400</v>
      </c>
      <c r="T17" s="11">
        <f t="shared" si="4"/>
        <v>11200</v>
      </c>
      <c r="U17" s="11">
        <f t="shared" si="10"/>
        <v>6142.5</v>
      </c>
      <c r="V17" s="12">
        <f t="shared" si="19"/>
        <v>737</v>
      </c>
      <c r="W17" s="12">
        <f t="shared" si="20"/>
        <v>66</v>
      </c>
      <c r="X17" s="11">
        <f t="shared" si="5"/>
        <v>10397</v>
      </c>
      <c r="Y17" s="13">
        <f t="shared" si="6"/>
        <v>110</v>
      </c>
      <c r="Z17" s="16"/>
      <c r="AA17" s="11"/>
      <c r="AB17" s="11"/>
      <c r="AC17" s="11">
        <f t="shared" si="18"/>
        <v>10287</v>
      </c>
    </row>
    <row r="18" spans="1:29" ht="16.5" x14ac:dyDescent="0.3">
      <c r="A18" s="8">
        <v>16</v>
      </c>
      <c r="B18" s="9" t="s">
        <v>48</v>
      </c>
      <c r="C18" s="9"/>
      <c r="D18" s="9"/>
      <c r="E18" s="9" t="s">
        <v>42</v>
      </c>
      <c r="F18" s="9">
        <v>27</v>
      </c>
      <c r="G18" s="9">
        <f t="shared" si="7"/>
        <v>3</v>
      </c>
      <c r="H18" s="9"/>
      <c r="I18" s="15" t="s">
        <v>44</v>
      </c>
      <c r="J18" s="15"/>
      <c r="K18" s="11"/>
      <c r="L18" s="11">
        <v>335</v>
      </c>
      <c r="M18" s="11">
        <f t="shared" si="23"/>
        <v>65</v>
      </c>
      <c r="N18" s="11"/>
      <c r="O18" s="11">
        <f t="shared" si="8"/>
        <v>9045</v>
      </c>
      <c r="P18" s="11">
        <f t="shared" si="21"/>
        <v>6331.5</v>
      </c>
      <c r="Q18" s="11">
        <f t="shared" si="22"/>
        <v>2713.5</v>
      </c>
      <c r="R18" s="11">
        <f>(25+25+15)*F18</f>
        <v>1755</v>
      </c>
      <c r="S18" s="11">
        <f t="shared" si="24"/>
        <v>0</v>
      </c>
      <c r="T18" s="11">
        <f t="shared" si="4"/>
        <v>10800</v>
      </c>
      <c r="U18" s="11">
        <f t="shared" si="10"/>
        <v>6331.5</v>
      </c>
      <c r="V18" s="12">
        <f t="shared" si="19"/>
        <v>760</v>
      </c>
      <c r="W18" s="12">
        <f t="shared" si="20"/>
        <v>68</v>
      </c>
      <c r="X18" s="11">
        <f t="shared" si="5"/>
        <v>9972</v>
      </c>
      <c r="Y18" s="13">
        <f t="shared" si="6"/>
        <v>110</v>
      </c>
      <c r="Z18" s="16"/>
      <c r="AA18" s="11"/>
      <c r="AB18" s="11"/>
      <c r="AC18" s="11">
        <f t="shared" si="18"/>
        <v>9862</v>
      </c>
    </row>
    <row r="19" spans="1:29" ht="16.5" x14ac:dyDescent="0.3">
      <c r="A19" s="8">
        <v>17</v>
      </c>
      <c r="B19" s="10" t="s">
        <v>49</v>
      </c>
      <c r="C19" s="10"/>
      <c r="D19" s="10"/>
      <c r="E19" s="9" t="s">
        <v>50</v>
      </c>
      <c r="F19" s="9">
        <v>27</v>
      </c>
      <c r="G19" s="9">
        <f t="shared" si="7"/>
        <v>3</v>
      </c>
      <c r="H19" s="9">
        <v>1</v>
      </c>
      <c r="I19" s="15" t="s">
        <v>44</v>
      </c>
      <c r="J19" s="15"/>
      <c r="K19" s="11"/>
      <c r="L19" s="11">
        <v>325</v>
      </c>
      <c r="M19" s="11">
        <f t="shared" si="23"/>
        <v>75</v>
      </c>
      <c r="N19" s="11"/>
      <c r="O19" s="11">
        <f t="shared" si="8"/>
        <v>8775</v>
      </c>
      <c r="P19" s="11">
        <f t="shared" si="21"/>
        <v>6142.5</v>
      </c>
      <c r="Q19" s="11">
        <f t="shared" si="22"/>
        <v>2632.5</v>
      </c>
      <c r="R19" s="11">
        <f>(35+25+15)*F19</f>
        <v>2025</v>
      </c>
      <c r="S19" s="11">
        <f t="shared" si="24"/>
        <v>400</v>
      </c>
      <c r="T19" s="11">
        <f t="shared" si="4"/>
        <v>11200</v>
      </c>
      <c r="U19" s="11">
        <f t="shared" si="10"/>
        <v>6142.5</v>
      </c>
      <c r="V19" s="12">
        <f t="shared" si="19"/>
        <v>737</v>
      </c>
      <c r="W19" s="12">
        <f t="shared" ref="W19:W39" si="25">IF(J19&lt;=21000,ROUND(O19*0.75%,0),0)</f>
        <v>66</v>
      </c>
      <c r="X19" s="11">
        <f t="shared" si="5"/>
        <v>10397</v>
      </c>
      <c r="Y19" s="13">
        <f t="shared" si="6"/>
        <v>110</v>
      </c>
      <c r="Z19" s="11"/>
      <c r="AA19" s="11"/>
      <c r="AB19" s="11"/>
      <c r="AC19" s="11">
        <f t="shared" si="18"/>
        <v>10287</v>
      </c>
    </row>
    <row r="20" spans="1:29" ht="16.5" x14ac:dyDescent="0.3">
      <c r="A20" s="8">
        <v>18</v>
      </c>
      <c r="B20" s="9" t="s">
        <v>51</v>
      </c>
      <c r="C20" s="9"/>
      <c r="D20" s="9"/>
      <c r="E20" s="9" t="s">
        <v>42</v>
      </c>
      <c r="F20" s="9">
        <v>27</v>
      </c>
      <c r="G20" s="9">
        <f t="shared" si="7"/>
        <v>3</v>
      </c>
      <c r="H20" s="9">
        <v>1</v>
      </c>
      <c r="I20" s="15" t="s">
        <v>44</v>
      </c>
      <c r="J20" s="15"/>
      <c r="K20" s="11"/>
      <c r="L20" s="11">
        <v>325</v>
      </c>
      <c r="M20" s="11">
        <f t="shared" si="23"/>
        <v>75</v>
      </c>
      <c r="N20" s="11"/>
      <c r="O20" s="11">
        <f t="shared" si="8"/>
        <v>8775</v>
      </c>
      <c r="P20" s="11">
        <f t="shared" si="21"/>
        <v>6142.5</v>
      </c>
      <c r="Q20" s="11">
        <f t="shared" si="22"/>
        <v>2632.5</v>
      </c>
      <c r="R20" s="11">
        <f>(15+45+15)*F20</f>
        <v>2025</v>
      </c>
      <c r="S20" s="11">
        <f t="shared" si="24"/>
        <v>400</v>
      </c>
      <c r="T20" s="11">
        <f t="shared" si="4"/>
        <v>11200</v>
      </c>
      <c r="U20" s="11">
        <f t="shared" si="10"/>
        <v>6142.5</v>
      </c>
      <c r="V20" s="12">
        <f t="shared" si="19"/>
        <v>737</v>
      </c>
      <c r="W20" s="12">
        <f t="shared" si="25"/>
        <v>66</v>
      </c>
      <c r="X20" s="11">
        <f t="shared" si="5"/>
        <v>10397</v>
      </c>
      <c r="Y20" s="13">
        <f t="shared" si="6"/>
        <v>110</v>
      </c>
      <c r="Z20" s="11"/>
      <c r="AA20" s="11"/>
      <c r="AB20" s="11"/>
      <c r="AC20" s="11">
        <f t="shared" si="18"/>
        <v>10287</v>
      </c>
    </row>
    <row r="21" spans="1:29" ht="16.5" x14ac:dyDescent="0.3">
      <c r="A21" s="8">
        <v>19</v>
      </c>
      <c r="B21" s="9" t="s">
        <v>52</v>
      </c>
      <c r="C21" s="9"/>
      <c r="D21" s="9"/>
      <c r="E21" s="9" t="s">
        <v>42</v>
      </c>
      <c r="F21" s="9">
        <v>28</v>
      </c>
      <c r="G21" s="9">
        <f t="shared" si="7"/>
        <v>2</v>
      </c>
      <c r="H21" s="9">
        <v>4</v>
      </c>
      <c r="I21" s="15" t="s">
        <v>44</v>
      </c>
      <c r="J21" s="15"/>
      <c r="K21" s="11"/>
      <c r="L21" s="11">
        <v>325</v>
      </c>
      <c r="M21" s="11">
        <f t="shared" si="23"/>
        <v>75</v>
      </c>
      <c r="N21" s="11"/>
      <c r="O21" s="11">
        <f>L21*F21</f>
        <v>9100</v>
      </c>
      <c r="P21" s="11">
        <f>O21*0.7</f>
        <v>6370</v>
      </c>
      <c r="Q21" s="11">
        <f t="shared" si="22"/>
        <v>2730</v>
      </c>
      <c r="R21" s="11">
        <f>(15+45+15)*F21</f>
        <v>2100</v>
      </c>
      <c r="S21" s="11">
        <f t="shared" si="24"/>
        <v>1600</v>
      </c>
      <c r="T21" s="11">
        <f t="shared" si="4"/>
        <v>12800</v>
      </c>
      <c r="U21" s="11">
        <f>+P21</f>
        <v>6370</v>
      </c>
      <c r="V21" s="12">
        <f>IF(K21&lt;=15000,ROUND(U21*12%,0),0)</f>
        <v>764</v>
      </c>
      <c r="W21" s="12">
        <f t="shared" si="25"/>
        <v>68</v>
      </c>
      <c r="X21" s="11">
        <f t="shared" si="5"/>
        <v>11968</v>
      </c>
      <c r="Y21" s="13">
        <f t="shared" si="6"/>
        <v>110</v>
      </c>
      <c r="Z21" s="11"/>
      <c r="AA21" s="11"/>
      <c r="AB21" s="11"/>
      <c r="AC21" s="11">
        <f t="shared" si="18"/>
        <v>11858</v>
      </c>
    </row>
    <row r="22" spans="1:29" ht="16.5" x14ac:dyDescent="0.3">
      <c r="A22" s="8">
        <v>20</v>
      </c>
      <c r="B22" s="9" t="s">
        <v>53</v>
      </c>
      <c r="C22" s="9"/>
      <c r="D22" s="9"/>
      <c r="E22" s="9"/>
      <c r="F22" s="9">
        <v>29</v>
      </c>
      <c r="G22" s="9">
        <f t="shared" si="7"/>
        <v>1</v>
      </c>
      <c r="H22" s="9">
        <v>4</v>
      </c>
      <c r="I22" s="15" t="s">
        <v>44</v>
      </c>
      <c r="J22" s="15"/>
      <c r="K22" s="11"/>
      <c r="L22" s="11">
        <v>335</v>
      </c>
      <c r="M22" s="11">
        <f t="shared" si="23"/>
        <v>65</v>
      </c>
      <c r="N22" s="11"/>
      <c r="O22" s="11">
        <f t="shared" si="8"/>
        <v>9715</v>
      </c>
      <c r="P22" s="11">
        <f t="shared" si="21"/>
        <v>6800.5</v>
      </c>
      <c r="Q22" s="11">
        <f t="shared" si="22"/>
        <v>2914.5</v>
      </c>
      <c r="R22" s="11">
        <f>(25+25+15)*F22</f>
        <v>1885</v>
      </c>
      <c r="S22" s="11">
        <f t="shared" si="24"/>
        <v>1600</v>
      </c>
      <c r="T22" s="11">
        <f t="shared" si="4"/>
        <v>13200</v>
      </c>
      <c r="U22" s="11">
        <f>+P22</f>
        <v>6800.5</v>
      </c>
      <c r="V22" s="12">
        <f t="shared" si="19"/>
        <v>816</v>
      </c>
      <c r="W22" s="12">
        <f t="shared" si="25"/>
        <v>73</v>
      </c>
      <c r="X22" s="11">
        <f t="shared" si="5"/>
        <v>12311</v>
      </c>
      <c r="Y22" s="13">
        <f t="shared" si="6"/>
        <v>110</v>
      </c>
      <c r="Z22" s="11"/>
      <c r="AA22" s="11"/>
      <c r="AB22" s="11"/>
      <c r="AC22" s="11">
        <f t="shared" si="18"/>
        <v>12201</v>
      </c>
    </row>
    <row r="23" spans="1:29" ht="16.5" x14ac:dyDescent="0.3">
      <c r="A23" s="8">
        <v>21</v>
      </c>
      <c r="B23" s="9" t="s">
        <v>54</v>
      </c>
      <c r="C23" s="9"/>
      <c r="D23" s="9"/>
      <c r="E23" s="22"/>
      <c r="F23" s="9">
        <v>30</v>
      </c>
      <c r="G23" s="9">
        <f t="shared" si="7"/>
        <v>0</v>
      </c>
      <c r="H23" s="9">
        <v>4</v>
      </c>
      <c r="I23" s="15" t="s">
        <v>44</v>
      </c>
      <c r="J23" s="15"/>
      <c r="K23" s="23"/>
      <c r="L23" s="11">
        <v>335</v>
      </c>
      <c r="M23" s="11">
        <f t="shared" si="23"/>
        <v>65</v>
      </c>
      <c r="N23" s="11"/>
      <c r="O23" s="11">
        <f t="shared" si="8"/>
        <v>10050</v>
      </c>
      <c r="P23" s="11">
        <f t="shared" si="21"/>
        <v>7035</v>
      </c>
      <c r="Q23" s="11">
        <f t="shared" si="22"/>
        <v>3015</v>
      </c>
      <c r="R23" s="11">
        <f>(25+25+15)*F23</f>
        <v>1950</v>
      </c>
      <c r="S23" s="11">
        <f t="shared" si="24"/>
        <v>1600</v>
      </c>
      <c r="T23" s="11">
        <f t="shared" si="4"/>
        <v>13600</v>
      </c>
      <c r="U23" s="11">
        <f t="shared" si="10"/>
        <v>7035</v>
      </c>
      <c r="V23" s="12">
        <f t="shared" si="19"/>
        <v>844</v>
      </c>
      <c r="W23" s="12">
        <f t="shared" si="25"/>
        <v>75</v>
      </c>
      <c r="X23" s="11">
        <f t="shared" si="5"/>
        <v>12681</v>
      </c>
      <c r="Y23" s="13">
        <f t="shared" si="6"/>
        <v>110</v>
      </c>
      <c r="Z23" s="11"/>
      <c r="AA23" s="11"/>
      <c r="AB23" s="11"/>
      <c r="AC23" s="11">
        <f t="shared" si="18"/>
        <v>12571</v>
      </c>
    </row>
    <row r="24" spans="1:29" ht="16.5" x14ac:dyDescent="0.3">
      <c r="A24" s="8">
        <v>22</v>
      </c>
      <c r="B24" s="9" t="s">
        <v>55</v>
      </c>
      <c r="C24" s="9"/>
      <c r="D24" s="9"/>
      <c r="E24" s="22"/>
      <c r="F24" s="9">
        <v>28</v>
      </c>
      <c r="G24" s="9">
        <f t="shared" si="7"/>
        <v>2</v>
      </c>
      <c r="H24" s="9">
        <v>1</v>
      </c>
      <c r="I24" s="15" t="s">
        <v>46</v>
      </c>
      <c r="J24" s="15"/>
      <c r="K24" s="23"/>
      <c r="L24" s="11">
        <v>325</v>
      </c>
      <c r="M24" s="11">
        <f t="shared" si="23"/>
        <v>50</v>
      </c>
      <c r="N24" s="11"/>
      <c r="O24" s="11">
        <f t="shared" si="8"/>
        <v>9100</v>
      </c>
      <c r="P24" s="11">
        <f t="shared" si="21"/>
        <v>6370</v>
      </c>
      <c r="Q24" s="11">
        <f t="shared" si="22"/>
        <v>2730</v>
      </c>
      <c r="R24" s="11">
        <f>(15+20+15)*F24</f>
        <v>1400</v>
      </c>
      <c r="S24" s="11">
        <f t="shared" si="24"/>
        <v>375</v>
      </c>
      <c r="T24" s="11">
        <f t="shared" si="4"/>
        <v>10875</v>
      </c>
      <c r="U24" s="11">
        <f t="shared" si="10"/>
        <v>6370</v>
      </c>
      <c r="V24" s="12">
        <f t="shared" si="19"/>
        <v>764</v>
      </c>
      <c r="W24" s="12">
        <f t="shared" si="25"/>
        <v>68</v>
      </c>
      <c r="X24" s="11">
        <f t="shared" si="5"/>
        <v>10043</v>
      </c>
      <c r="Y24" s="13">
        <f t="shared" si="6"/>
        <v>110</v>
      </c>
      <c r="Z24" s="11"/>
      <c r="AA24" s="11"/>
      <c r="AB24" s="11"/>
      <c r="AC24" s="11">
        <f t="shared" si="18"/>
        <v>9933</v>
      </c>
    </row>
    <row r="25" spans="1:29" ht="16.5" x14ac:dyDescent="0.3">
      <c r="A25" s="8">
        <v>23</v>
      </c>
      <c r="B25" s="9" t="s">
        <v>56</v>
      </c>
      <c r="C25" s="9"/>
      <c r="D25" s="9"/>
      <c r="E25" s="8"/>
      <c r="F25" s="9">
        <v>28</v>
      </c>
      <c r="G25" s="9">
        <f t="shared" si="7"/>
        <v>2</v>
      </c>
      <c r="H25" s="9">
        <v>1</v>
      </c>
      <c r="I25" s="15" t="s">
        <v>44</v>
      </c>
      <c r="J25" s="15"/>
      <c r="K25" s="23"/>
      <c r="L25" s="11">
        <v>325</v>
      </c>
      <c r="M25" s="11">
        <f t="shared" si="23"/>
        <v>75</v>
      </c>
      <c r="N25" s="11"/>
      <c r="O25" s="11">
        <f t="shared" si="8"/>
        <v>9100</v>
      </c>
      <c r="P25" s="11">
        <f t="shared" si="21"/>
        <v>6370</v>
      </c>
      <c r="Q25" s="11">
        <f t="shared" si="22"/>
        <v>2730</v>
      </c>
      <c r="R25" s="11">
        <f>(35+25+15)*F25</f>
        <v>2100</v>
      </c>
      <c r="S25" s="11">
        <f t="shared" si="24"/>
        <v>400</v>
      </c>
      <c r="T25" s="11">
        <f t="shared" si="4"/>
        <v>11600</v>
      </c>
      <c r="U25" s="11">
        <f t="shared" si="10"/>
        <v>6370</v>
      </c>
      <c r="V25" s="12">
        <f t="shared" si="19"/>
        <v>764</v>
      </c>
      <c r="W25" s="12">
        <f t="shared" si="25"/>
        <v>68</v>
      </c>
      <c r="X25" s="11">
        <f t="shared" si="5"/>
        <v>10768</v>
      </c>
      <c r="Y25" s="13">
        <f t="shared" si="6"/>
        <v>110</v>
      </c>
      <c r="Z25" s="11"/>
      <c r="AA25" s="11"/>
      <c r="AB25" s="11"/>
      <c r="AC25" s="11">
        <f t="shared" si="18"/>
        <v>10658</v>
      </c>
    </row>
    <row r="26" spans="1:29" ht="16.5" x14ac:dyDescent="0.3">
      <c r="A26" s="8">
        <v>24</v>
      </c>
      <c r="B26" t="s">
        <v>57</v>
      </c>
      <c r="C26" s="9"/>
      <c r="D26" s="9"/>
      <c r="E26" s="8"/>
      <c r="F26" s="9">
        <v>29</v>
      </c>
      <c r="G26" s="9">
        <f t="shared" si="7"/>
        <v>1</v>
      </c>
      <c r="H26" s="9">
        <v>1</v>
      </c>
      <c r="I26" s="15" t="s">
        <v>46</v>
      </c>
      <c r="J26" s="15"/>
      <c r="K26" s="23"/>
      <c r="L26" s="11">
        <v>315</v>
      </c>
      <c r="M26" s="11">
        <f t="shared" si="23"/>
        <v>60</v>
      </c>
      <c r="N26" s="11"/>
      <c r="O26" s="11">
        <f t="shared" si="8"/>
        <v>9135</v>
      </c>
      <c r="P26" s="11">
        <f t="shared" si="21"/>
        <v>6394.5</v>
      </c>
      <c r="Q26" s="11">
        <f t="shared" si="22"/>
        <v>2740.5</v>
      </c>
      <c r="R26" s="11">
        <f>(10+35+15)*F26</f>
        <v>1740</v>
      </c>
      <c r="S26" s="11">
        <f t="shared" si="24"/>
        <v>375</v>
      </c>
      <c r="T26" s="11">
        <f t="shared" si="4"/>
        <v>11250</v>
      </c>
      <c r="U26" s="11">
        <f t="shared" si="10"/>
        <v>6394.5</v>
      </c>
      <c r="V26" s="12">
        <f t="shared" si="19"/>
        <v>767</v>
      </c>
      <c r="W26" s="12">
        <f t="shared" si="25"/>
        <v>69</v>
      </c>
      <c r="X26" s="11">
        <f t="shared" si="5"/>
        <v>10414</v>
      </c>
      <c r="Y26" s="13">
        <f t="shared" si="6"/>
        <v>110</v>
      </c>
      <c r="Z26" s="11"/>
      <c r="AA26" s="11"/>
      <c r="AB26" s="11"/>
      <c r="AC26" s="11">
        <f t="shared" si="18"/>
        <v>10304</v>
      </c>
    </row>
    <row r="27" spans="1:29" ht="16.5" x14ac:dyDescent="0.3">
      <c r="A27" s="8">
        <v>25</v>
      </c>
      <c r="B27" s="9" t="s">
        <v>58</v>
      </c>
      <c r="C27" s="9"/>
      <c r="D27" s="9"/>
      <c r="E27" s="8"/>
      <c r="F27" s="9">
        <v>29</v>
      </c>
      <c r="G27" s="9">
        <f t="shared" si="7"/>
        <v>1</v>
      </c>
      <c r="H27" s="9">
        <v>4</v>
      </c>
      <c r="I27" s="15" t="s">
        <v>46</v>
      </c>
      <c r="J27" s="15"/>
      <c r="K27" s="23"/>
      <c r="L27" s="11">
        <v>325</v>
      </c>
      <c r="M27" s="11">
        <f t="shared" si="23"/>
        <v>50</v>
      </c>
      <c r="N27" s="11"/>
      <c r="O27" s="11">
        <f t="shared" si="8"/>
        <v>9425</v>
      </c>
      <c r="P27" s="11">
        <f t="shared" si="21"/>
        <v>6597.5</v>
      </c>
      <c r="Q27" s="11">
        <f t="shared" si="22"/>
        <v>2827.5</v>
      </c>
      <c r="R27" s="11">
        <f>(15+20+15)*F27</f>
        <v>1450</v>
      </c>
      <c r="S27" s="11">
        <f t="shared" si="24"/>
        <v>1500</v>
      </c>
      <c r="T27" s="11">
        <f t="shared" si="4"/>
        <v>12375</v>
      </c>
      <c r="U27" s="11">
        <f t="shared" si="10"/>
        <v>6597.5</v>
      </c>
      <c r="V27" s="12">
        <f t="shared" si="19"/>
        <v>792</v>
      </c>
      <c r="W27" s="12">
        <f t="shared" si="25"/>
        <v>71</v>
      </c>
      <c r="X27" s="11">
        <f t="shared" si="5"/>
        <v>11512</v>
      </c>
      <c r="Y27" s="13">
        <f t="shared" si="6"/>
        <v>110</v>
      </c>
      <c r="Z27" s="11"/>
      <c r="AA27" s="11"/>
      <c r="AB27" s="11"/>
      <c r="AC27" s="11">
        <f t="shared" si="18"/>
        <v>11402</v>
      </c>
    </row>
    <row r="28" spans="1:29" ht="16.5" x14ac:dyDescent="0.3">
      <c r="A28" s="8">
        <v>26</v>
      </c>
      <c r="B28" s="24" t="s">
        <v>59</v>
      </c>
      <c r="C28" s="9"/>
      <c r="D28" s="9"/>
      <c r="E28" s="8"/>
      <c r="F28" s="9">
        <v>30</v>
      </c>
      <c r="G28" s="9">
        <f t="shared" si="7"/>
        <v>0</v>
      </c>
      <c r="H28" s="9">
        <v>1</v>
      </c>
      <c r="I28" s="15" t="s">
        <v>46</v>
      </c>
      <c r="J28" s="15"/>
      <c r="K28" s="23"/>
      <c r="L28" s="11">
        <v>315</v>
      </c>
      <c r="M28" s="11">
        <f t="shared" si="23"/>
        <v>60</v>
      </c>
      <c r="N28" s="11"/>
      <c r="O28" s="11">
        <f t="shared" si="8"/>
        <v>9450</v>
      </c>
      <c r="P28" s="11">
        <f t="shared" si="21"/>
        <v>6615</v>
      </c>
      <c r="Q28" s="11">
        <f t="shared" si="22"/>
        <v>2835</v>
      </c>
      <c r="R28" s="11">
        <f>(10+35+15)*F28</f>
        <v>1800</v>
      </c>
      <c r="S28" s="11">
        <f t="shared" si="24"/>
        <v>375</v>
      </c>
      <c r="T28" s="11">
        <f t="shared" si="4"/>
        <v>11625</v>
      </c>
      <c r="U28" s="11">
        <f t="shared" si="10"/>
        <v>6615</v>
      </c>
      <c r="V28" s="12">
        <f t="shared" si="19"/>
        <v>794</v>
      </c>
      <c r="W28" s="12">
        <f t="shared" si="25"/>
        <v>71</v>
      </c>
      <c r="X28" s="11">
        <f t="shared" si="5"/>
        <v>10760</v>
      </c>
      <c r="Y28" s="13">
        <f t="shared" si="6"/>
        <v>110</v>
      </c>
      <c r="Z28" s="11"/>
      <c r="AA28" s="11"/>
      <c r="AB28" s="11"/>
      <c r="AC28" s="11">
        <f t="shared" si="18"/>
        <v>10650</v>
      </c>
    </row>
    <row r="29" spans="1:29" ht="16.5" x14ac:dyDescent="0.3">
      <c r="A29" s="8">
        <v>27</v>
      </c>
      <c r="B29" s="24" t="s">
        <v>60</v>
      </c>
      <c r="C29" s="9"/>
      <c r="D29" s="9"/>
      <c r="E29" s="8"/>
      <c r="F29" s="9">
        <v>29</v>
      </c>
      <c r="G29" s="9">
        <f t="shared" si="7"/>
        <v>1</v>
      </c>
      <c r="H29" s="9">
        <v>1</v>
      </c>
      <c r="I29" s="15" t="s">
        <v>46</v>
      </c>
      <c r="J29" s="15"/>
      <c r="K29" s="23"/>
      <c r="L29" s="11">
        <v>315</v>
      </c>
      <c r="M29" s="11">
        <f t="shared" si="23"/>
        <v>60</v>
      </c>
      <c r="N29" s="11"/>
      <c r="O29" s="11">
        <f t="shared" si="8"/>
        <v>9135</v>
      </c>
      <c r="P29" s="11">
        <f t="shared" si="21"/>
        <v>6394.5</v>
      </c>
      <c r="Q29" s="11">
        <f t="shared" si="22"/>
        <v>2740.5</v>
      </c>
      <c r="R29" s="11">
        <f>(10+35+15)*F29</f>
        <v>1740</v>
      </c>
      <c r="S29" s="11">
        <f t="shared" si="24"/>
        <v>375</v>
      </c>
      <c r="T29" s="11">
        <f t="shared" si="4"/>
        <v>11250</v>
      </c>
      <c r="U29" s="11">
        <f t="shared" si="10"/>
        <v>6394.5</v>
      </c>
      <c r="V29" s="12">
        <f t="shared" si="19"/>
        <v>767</v>
      </c>
      <c r="W29" s="12">
        <f t="shared" si="25"/>
        <v>69</v>
      </c>
      <c r="X29" s="11">
        <f t="shared" si="5"/>
        <v>10414</v>
      </c>
      <c r="Y29" s="13">
        <f t="shared" si="6"/>
        <v>110</v>
      </c>
      <c r="Z29" s="25">
        <v>0</v>
      </c>
      <c r="AA29" s="11"/>
      <c r="AB29" s="11"/>
      <c r="AC29" s="11">
        <f t="shared" si="18"/>
        <v>10304</v>
      </c>
    </row>
    <row r="30" spans="1:29" ht="16.5" x14ac:dyDescent="0.3">
      <c r="A30" s="8">
        <v>28</v>
      </c>
      <c r="B30" s="24" t="s">
        <v>61</v>
      </c>
      <c r="C30" s="9"/>
      <c r="D30" s="9"/>
      <c r="E30" s="8"/>
      <c r="F30" s="9">
        <v>29</v>
      </c>
      <c r="G30" s="9">
        <f t="shared" si="7"/>
        <v>1</v>
      </c>
      <c r="H30" s="9">
        <v>1</v>
      </c>
      <c r="I30" s="15" t="s">
        <v>44</v>
      </c>
      <c r="J30" s="15"/>
      <c r="K30" s="23"/>
      <c r="L30" s="11">
        <v>315</v>
      </c>
      <c r="M30" s="11">
        <f t="shared" si="23"/>
        <v>85</v>
      </c>
      <c r="N30" s="11"/>
      <c r="O30" s="11">
        <f t="shared" si="8"/>
        <v>9135</v>
      </c>
      <c r="P30" s="11">
        <f t="shared" si="21"/>
        <v>6394.5</v>
      </c>
      <c r="Q30" s="11">
        <f t="shared" si="22"/>
        <v>2740.5</v>
      </c>
      <c r="R30" s="11">
        <f>(25+45+15)*F30</f>
        <v>2465</v>
      </c>
      <c r="S30" s="11">
        <f t="shared" si="24"/>
        <v>400</v>
      </c>
      <c r="T30" s="11">
        <f t="shared" si="4"/>
        <v>12000</v>
      </c>
      <c r="U30" s="11">
        <f t="shared" si="10"/>
        <v>6394.5</v>
      </c>
      <c r="V30" s="12">
        <f t="shared" si="19"/>
        <v>767</v>
      </c>
      <c r="W30" s="12">
        <f t="shared" si="25"/>
        <v>69</v>
      </c>
      <c r="X30" s="11">
        <f t="shared" si="5"/>
        <v>11164</v>
      </c>
      <c r="Y30" s="13">
        <f t="shared" si="6"/>
        <v>110</v>
      </c>
      <c r="Z30" s="11"/>
      <c r="AA30" s="11"/>
      <c r="AB30" s="11"/>
      <c r="AC30" s="11">
        <f t="shared" si="18"/>
        <v>11054</v>
      </c>
    </row>
    <row r="31" spans="1:29" ht="16.5" x14ac:dyDescent="0.3">
      <c r="A31" s="26">
        <v>29</v>
      </c>
      <c r="B31" s="24" t="s">
        <v>62</v>
      </c>
      <c r="C31" s="27"/>
      <c r="D31" s="9"/>
      <c r="E31" s="8"/>
      <c r="F31" s="9">
        <v>28</v>
      </c>
      <c r="G31" s="9">
        <f t="shared" si="7"/>
        <v>2</v>
      </c>
      <c r="H31" s="9">
        <v>1</v>
      </c>
      <c r="I31" s="15"/>
      <c r="J31" s="15"/>
      <c r="K31" s="23"/>
      <c r="L31" s="11">
        <v>315</v>
      </c>
      <c r="M31" s="11">
        <f t="shared" si="23"/>
        <v>35</v>
      </c>
      <c r="N31" s="11"/>
      <c r="O31" s="11">
        <f t="shared" si="8"/>
        <v>8820</v>
      </c>
      <c r="P31" s="11">
        <f>O31*0.6</f>
        <v>5292</v>
      </c>
      <c r="Q31" s="11">
        <f>(O31)*0.4</f>
        <v>3528</v>
      </c>
      <c r="R31" s="11">
        <f>(35)*F31</f>
        <v>980</v>
      </c>
      <c r="S31" s="11">
        <f t="shared" si="24"/>
        <v>350</v>
      </c>
      <c r="T31" s="11">
        <f t="shared" si="4"/>
        <v>10150</v>
      </c>
      <c r="U31" s="11">
        <f t="shared" si="10"/>
        <v>5292</v>
      </c>
      <c r="V31" s="12">
        <f t="shared" si="19"/>
        <v>635</v>
      </c>
      <c r="W31" s="12">
        <f t="shared" si="25"/>
        <v>66</v>
      </c>
      <c r="X31" s="11">
        <f t="shared" si="5"/>
        <v>9449</v>
      </c>
      <c r="Y31" s="13">
        <f t="shared" si="6"/>
        <v>110</v>
      </c>
      <c r="Z31" s="11"/>
      <c r="AA31" s="11"/>
      <c r="AB31" s="11"/>
      <c r="AC31" s="11">
        <f t="shared" si="18"/>
        <v>9339</v>
      </c>
    </row>
    <row r="32" spans="1:29" ht="16.5" x14ac:dyDescent="0.3">
      <c r="A32" s="26">
        <v>30</v>
      </c>
      <c r="B32" s="24" t="s">
        <v>63</v>
      </c>
      <c r="C32" s="27"/>
      <c r="D32" s="9"/>
      <c r="E32" s="8"/>
      <c r="F32" s="9">
        <v>17</v>
      </c>
      <c r="G32" s="9">
        <f t="shared" si="7"/>
        <v>13</v>
      </c>
      <c r="H32" s="9"/>
      <c r="I32" s="15"/>
      <c r="J32" s="15"/>
      <c r="K32" s="23"/>
      <c r="L32" s="11">
        <v>315</v>
      </c>
      <c r="M32" s="11">
        <f t="shared" si="23"/>
        <v>35</v>
      </c>
      <c r="N32" s="11"/>
      <c r="O32" s="11">
        <f t="shared" si="8"/>
        <v>5355</v>
      </c>
      <c r="P32" s="11">
        <f>O32*0.6</f>
        <v>3213</v>
      </c>
      <c r="Q32" s="11">
        <f>(O32)*0.4</f>
        <v>2142</v>
      </c>
      <c r="R32" s="11">
        <f>(35)*F32</f>
        <v>595</v>
      </c>
      <c r="S32" s="11">
        <f t="shared" si="24"/>
        <v>0</v>
      </c>
      <c r="T32" s="11">
        <f t="shared" si="4"/>
        <v>5950</v>
      </c>
      <c r="U32" s="11">
        <f t="shared" si="10"/>
        <v>3213</v>
      </c>
      <c r="V32" s="12">
        <f t="shared" si="19"/>
        <v>386</v>
      </c>
      <c r="W32" s="12">
        <f t="shared" si="25"/>
        <v>40</v>
      </c>
      <c r="X32" s="11">
        <f t="shared" si="5"/>
        <v>5524</v>
      </c>
      <c r="Y32" s="13">
        <f t="shared" si="6"/>
        <v>0</v>
      </c>
      <c r="Z32" s="16"/>
      <c r="AA32" s="11"/>
      <c r="AB32" s="11"/>
      <c r="AC32" s="11">
        <f t="shared" si="18"/>
        <v>5524</v>
      </c>
    </row>
    <row r="33" spans="1:29" ht="16.5" x14ac:dyDescent="0.3">
      <c r="A33" s="26">
        <v>31</v>
      </c>
      <c r="B33" s="24" t="s">
        <v>64</v>
      </c>
      <c r="C33" s="27"/>
      <c r="D33" s="9"/>
      <c r="E33" s="8"/>
      <c r="F33" s="9">
        <v>29</v>
      </c>
      <c r="G33" s="9">
        <f t="shared" si="7"/>
        <v>1</v>
      </c>
      <c r="H33" s="9">
        <v>1</v>
      </c>
      <c r="I33" s="15"/>
      <c r="J33" s="15"/>
      <c r="K33" s="23"/>
      <c r="L33" s="11">
        <v>320</v>
      </c>
      <c r="M33" s="11">
        <f t="shared" si="23"/>
        <v>15</v>
      </c>
      <c r="N33" s="11"/>
      <c r="O33" s="11">
        <f t="shared" si="8"/>
        <v>9280</v>
      </c>
      <c r="P33" s="11">
        <f t="shared" ref="P33:P34" si="26">O33*0.7</f>
        <v>6496</v>
      </c>
      <c r="Q33" s="11">
        <f t="shared" ref="Q33:Q34" si="27">O33*0.3</f>
        <v>2784</v>
      </c>
      <c r="R33" s="11">
        <f>(15)*F33</f>
        <v>435</v>
      </c>
      <c r="S33" s="11">
        <f t="shared" si="24"/>
        <v>335</v>
      </c>
      <c r="T33" s="11">
        <f t="shared" si="4"/>
        <v>10050</v>
      </c>
      <c r="U33" s="11">
        <f t="shared" si="10"/>
        <v>6496</v>
      </c>
      <c r="V33" s="12">
        <f t="shared" si="19"/>
        <v>780</v>
      </c>
      <c r="W33" s="12">
        <f t="shared" si="25"/>
        <v>70</v>
      </c>
      <c r="X33" s="11">
        <f t="shared" si="5"/>
        <v>9200</v>
      </c>
      <c r="Y33" s="13">
        <f t="shared" si="6"/>
        <v>110</v>
      </c>
      <c r="Z33" s="11"/>
      <c r="AA33" s="11"/>
      <c r="AB33" s="11"/>
      <c r="AC33" s="11">
        <f t="shared" si="18"/>
        <v>9090</v>
      </c>
    </row>
    <row r="34" spans="1:29" ht="16.5" x14ac:dyDescent="0.3">
      <c r="A34" s="26">
        <v>32</v>
      </c>
      <c r="B34" s="24" t="s">
        <v>65</v>
      </c>
      <c r="C34" s="27"/>
      <c r="D34" s="9"/>
      <c r="E34" s="8"/>
      <c r="F34" s="9">
        <v>25</v>
      </c>
      <c r="G34" s="9">
        <f t="shared" si="7"/>
        <v>5</v>
      </c>
      <c r="H34" s="9">
        <v>1</v>
      </c>
      <c r="I34" s="15"/>
      <c r="J34" s="15"/>
      <c r="K34" s="23"/>
      <c r="L34" s="11">
        <v>320</v>
      </c>
      <c r="M34" s="11">
        <f t="shared" si="23"/>
        <v>35</v>
      </c>
      <c r="N34" s="11"/>
      <c r="O34" s="11">
        <f t="shared" si="8"/>
        <v>8000</v>
      </c>
      <c r="P34" s="11">
        <f t="shared" si="26"/>
        <v>5600</v>
      </c>
      <c r="Q34" s="11">
        <f t="shared" si="27"/>
        <v>2400</v>
      </c>
      <c r="R34" s="11">
        <f>(20+15)*F34</f>
        <v>875</v>
      </c>
      <c r="S34" s="11">
        <f t="shared" si="24"/>
        <v>355</v>
      </c>
      <c r="T34" s="11">
        <f t="shared" si="4"/>
        <v>9230</v>
      </c>
      <c r="U34" s="11">
        <f t="shared" si="10"/>
        <v>5600</v>
      </c>
      <c r="V34" s="12">
        <f t="shared" si="19"/>
        <v>672</v>
      </c>
      <c r="W34" s="12">
        <f t="shared" si="25"/>
        <v>60</v>
      </c>
      <c r="X34" s="11">
        <f t="shared" si="5"/>
        <v>8498</v>
      </c>
      <c r="Y34" s="13">
        <f t="shared" si="6"/>
        <v>0</v>
      </c>
      <c r="Z34" s="11"/>
      <c r="AA34" s="11"/>
      <c r="AB34" s="11"/>
      <c r="AC34" s="11">
        <f t="shared" si="18"/>
        <v>8498</v>
      </c>
    </row>
    <row r="35" spans="1:29" s="49" customFormat="1" ht="16.5" hidden="1" x14ac:dyDescent="0.3">
      <c r="A35" s="39">
        <v>33</v>
      </c>
      <c r="B35" s="40" t="s">
        <v>66</v>
      </c>
      <c r="C35" s="41"/>
      <c r="D35" s="42"/>
      <c r="E35" s="43"/>
      <c r="F35" s="42"/>
      <c r="G35" s="9">
        <f t="shared" si="7"/>
        <v>30</v>
      </c>
      <c r="H35" s="42"/>
      <c r="I35" s="44"/>
      <c r="J35" s="44"/>
      <c r="K35" s="45"/>
      <c r="L35" s="46">
        <v>320</v>
      </c>
      <c r="M35" s="46">
        <v>20</v>
      </c>
      <c r="N35" s="46"/>
      <c r="O35" s="46">
        <f t="shared" si="8"/>
        <v>0</v>
      </c>
      <c r="P35" s="46">
        <f t="shared" si="21"/>
        <v>0</v>
      </c>
      <c r="Q35" s="46">
        <f t="shared" si="22"/>
        <v>0</v>
      </c>
      <c r="R35" s="46">
        <f>(20)*F35</f>
        <v>0</v>
      </c>
      <c r="S35" s="46">
        <f t="shared" si="17"/>
        <v>0</v>
      </c>
      <c r="T35" s="46">
        <f t="shared" si="4"/>
        <v>0</v>
      </c>
      <c r="U35" s="46">
        <f t="shared" si="10"/>
        <v>0</v>
      </c>
      <c r="V35" s="47">
        <f t="shared" si="19"/>
        <v>0</v>
      </c>
      <c r="W35" s="12">
        <f t="shared" si="25"/>
        <v>0</v>
      </c>
      <c r="X35" s="46">
        <f t="shared" si="5"/>
        <v>0</v>
      </c>
      <c r="Y35" s="48" t="b">
        <f t="shared" si="6"/>
        <v>0</v>
      </c>
      <c r="Z35" s="46"/>
      <c r="AA35" s="46"/>
      <c r="AB35" s="46"/>
      <c r="AC35" s="11">
        <f t="shared" si="18"/>
        <v>0</v>
      </c>
    </row>
    <row r="36" spans="1:29" ht="15.75" x14ac:dyDescent="0.3">
      <c r="A36" s="8">
        <v>33</v>
      </c>
      <c r="B36" s="65" t="s">
        <v>67</v>
      </c>
      <c r="C36" s="66"/>
      <c r="D36" s="10"/>
      <c r="E36" s="9"/>
      <c r="F36" s="9">
        <v>14</v>
      </c>
      <c r="G36" s="9">
        <f t="shared" si="7"/>
        <v>16</v>
      </c>
      <c r="H36" s="9"/>
      <c r="I36" s="9"/>
      <c r="J36" s="11">
        <v>60000</v>
      </c>
      <c r="K36" s="11">
        <v>60000</v>
      </c>
      <c r="L36" s="11">
        <f>K36/$F$45</f>
        <v>2000</v>
      </c>
      <c r="M36" s="11">
        <v>0</v>
      </c>
      <c r="N36" s="11"/>
      <c r="O36" s="11">
        <f t="shared" si="8"/>
        <v>28000</v>
      </c>
      <c r="P36" s="11">
        <f t="shared" ref="P36:P39" si="28">O36*1</f>
        <v>28000</v>
      </c>
      <c r="Q36" s="11">
        <v>0</v>
      </c>
      <c r="R36" s="11">
        <v>0</v>
      </c>
      <c r="S36" s="11">
        <f t="shared" si="17"/>
        <v>0</v>
      </c>
      <c r="T36" s="11">
        <f t="shared" si="4"/>
        <v>28000</v>
      </c>
      <c r="U36" s="11">
        <v>0</v>
      </c>
      <c r="V36" s="12">
        <f t="shared" si="19"/>
        <v>0</v>
      </c>
      <c r="W36" s="12">
        <f t="shared" si="25"/>
        <v>0</v>
      </c>
      <c r="X36" s="11">
        <f t="shared" si="5"/>
        <v>28000</v>
      </c>
      <c r="Y36" s="13">
        <f t="shared" si="6"/>
        <v>150</v>
      </c>
      <c r="Z36" s="11"/>
      <c r="AA36" s="11"/>
      <c r="AB36" s="11"/>
      <c r="AC36" s="11">
        <f>X36-Y36</f>
        <v>27850</v>
      </c>
    </row>
    <row r="37" spans="1:29" ht="15.75" x14ac:dyDescent="0.3">
      <c r="A37" s="8">
        <v>34</v>
      </c>
      <c r="B37" s="10" t="s">
        <v>74</v>
      </c>
      <c r="C37" s="10"/>
      <c r="D37" s="10"/>
      <c r="E37" s="9"/>
      <c r="F37" s="9">
        <v>30</v>
      </c>
      <c r="G37" s="9">
        <f t="shared" ref="G37" si="29">30-F37</f>
        <v>0</v>
      </c>
      <c r="H37" s="9"/>
      <c r="I37" s="9"/>
      <c r="J37" s="11">
        <v>25000</v>
      </c>
      <c r="K37" s="11">
        <v>25000</v>
      </c>
      <c r="L37" s="11">
        <f t="shared" ref="L37:L39" si="30">K37/$F$45</f>
        <v>833.33333333333337</v>
      </c>
      <c r="M37" s="11">
        <v>0</v>
      </c>
      <c r="N37" s="11"/>
      <c r="O37" s="11">
        <f t="shared" ref="O37" si="31">L37*F37</f>
        <v>25000</v>
      </c>
      <c r="P37" s="11">
        <f t="shared" ref="P37" si="32">O37*1</f>
        <v>25000</v>
      </c>
      <c r="Q37" s="11">
        <v>0</v>
      </c>
      <c r="R37" s="11">
        <v>0</v>
      </c>
      <c r="S37" s="11">
        <f t="shared" ref="S37" si="33">(L37+M37)*H37</f>
        <v>0</v>
      </c>
      <c r="T37" s="11">
        <f t="shared" ref="T37" si="34">O37+((R37)+S37)</f>
        <v>25000</v>
      </c>
      <c r="U37" s="11">
        <v>0</v>
      </c>
      <c r="V37" s="12">
        <f t="shared" ref="V37" si="35">IF(K37&lt;=15000,ROUND(U37*12%,0),0)</f>
        <v>0</v>
      </c>
      <c r="W37" s="12">
        <f t="shared" si="25"/>
        <v>0</v>
      </c>
      <c r="X37" s="11">
        <f t="shared" ref="X37" si="36">T37-V37-W37</f>
        <v>25000</v>
      </c>
      <c r="Y37" s="13">
        <f t="shared" ref="Y37" si="37">IF(T37&gt;40000,200,IF(T37&gt;25000,150,IF(T37&gt;15000,130,IF(T37&gt;10000,110,IF(T37&gt;0,0)))))</f>
        <v>130</v>
      </c>
      <c r="Z37" s="11"/>
      <c r="AA37" s="11"/>
      <c r="AB37" s="11"/>
      <c r="AC37" s="11">
        <f>X37-Y37</f>
        <v>24870</v>
      </c>
    </row>
    <row r="38" spans="1:29" ht="15.75" x14ac:dyDescent="0.3">
      <c r="A38" s="8">
        <v>34</v>
      </c>
      <c r="B38" s="10" t="s">
        <v>68</v>
      </c>
      <c r="C38" s="10"/>
      <c r="D38" s="10"/>
      <c r="E38" s="9"/>
      <c r="F38" s="9">
        <v>30</v>
      </c>
      <c r="G38" s="9">
        <f t="shared" si="7"/>
        <v>0</v>
      </c>
      <c r="H38" s="9"/>
      <c r="I38" s="9"/>
      <c r="J38" s="11">
        <v>21500</v>
      </c>
      <c r="K38" s="11">
        <v>21500</v>
      </c>
      <c r="L38" s="11">
        <f t="shared" si="30"/>
        <v>716.66666666666663</v>
      </c>
      <c r="M38" s="11">
        <v>0</v>
      </c>
      <c r="N38" s="11"/>
      <c r="O38" s="11">
        <f t="shared" si="8"/>
        <v>21500</v>
      </c>
      <c r="P38" s="11">
        <f t="shared" si="28"/>
        <v>21500</v>
      </c>
      <c r="Q38" s="11">
        <v>0</v>
      </c>
      <c r="R38" s="11">
        <v>0</v>
      </c>
      <c r="S38" s="11">
        <f t="shared" si="17"/>
        <v>0</v>
      </c>
      <c r="T38" s="11">
        <f t="shared" si="4"/>
        <v>21500</v>
      </c>
      <c r="U38" s="11">
        <v>0</v>
      </c>
      <c r="V38" s="12">
        <f t="shared" si="19"/>
        <v>0</v>
      </c>
      <c r="W38" s="12">
        <f t="shared" si="25"/>
        <v>0</v>
      </c>
      <c r="X38" s="11">
        <f t="shared" si="5"/>
        <v>21500</v>
      </c>
      <c r="Y38" s="13">
        <f t="shared" si="6"/>
        <v>130</v>
      </c>
      <c r="Z38" s="11"/>
      <c r="AA38" s="11"/>
      <c r="AB38" s="11"/>
      <c r="AC38" s="11">
        <f>X38-Y38</f>
        <v>21370</v>
      </c>
    </row>
    <row r="39" spans="1:29" ht="15.75" x14ac:dyDescent="0.3">
      <c r="A39" s="8">
        <v>35</v>
      </c>
      <c r="B39" s="10" t="s">
        <v>69</v>
      </c>
      <c r="C39" s="10"/>
      <c r="D39" s="10"/>
      <c r="E39" s="9"/>
      <c r="F39" s="9">
        <v>30</v>
      </c>
      <c r="G39" s="9">
        <f t="shared" si="7"/>
        <v>0</v>
      </c>
      <c r="H39" s="9"/>
      <c r="I39" s="9"/>
      <c r="J39" s="11">
        <v>100000</v>
      </c>
      <c r="K39" s="11">
        <v>100000</v>
      </c>
      <c r="L39" s="11">
        <f t="shared" si="30"/>
        <v>3333.3333333333335</v>
      </c>
      <c r="M39" s="11">
        <v>0</v>
      </c>
      <c r="N39" s="11"/>
      <c r="O39" s="11">
        <f t="shared" si="8"/>
        <v>100000</v>
      </c>
      <c r="P39" s="11">
        <f t="shared" si="28"/>
        <v>100000</v>
      </c>
      <c r="Q39" s="11">
        <v>0</v>
      </c>
      <c r="R39" s="11">
        <v>0</v>
      </c>
      <c r="S39" s="11">
        <f t="shared" si="17"/>
        <v>0</v>
      </c>
      <c r="T39" s="11">
        <f t="shared" si="4"/>
        <v>100000</v>
      </c>
      <c r="U39" s="11">
        <v>0</v>
      </c>
      <c r="V39" s="12">
        <v>0</v>
      </c>
      <c r="W39" s="12">
        <f t="shared" si="25"/>
        <v>0</v>
      </c>
      <c r="X39" s="11">
        <f t="shared" si="5"/>
        <v>100000</v>
      </c>
      <c r="Y39" s="13"/>
      <c r="Z39" s="11"/>
      <c r="AA39" s="11"/>
      <c r="AB39" s="11">
        <v>20000</v>
      </c>
      <c r="AC39" s="11">
        <f>X39-AB39</f>
        <v>80000</v>
      </c>
    </row>
    <row r="40" spans="1:29" ht="16.5" x14ac:dyDescent="0.3">
      <c r="A40" s="28" t="s">
        <v>70</v>
      </c>
      <c r="B40" s="28"/>
      <c r="C40" s="28"/>
      <c r="D40" s="28"/>
      <c r="E40" s="29"/>
      <c r="F40" s="28">
        <f>SUM(F3:F39)</f>
        <v>960</v>
      </c>
      <c r="G40" s="9">
        <f>SUM(G3:G39)</f>
        <v>150</v>
      </c>
      <c r="H40" s="9">
        <f>SUM(H3:H39)</f>
        <v>40</v>
      </c>
      <c r="I40" s="15"/>
      <c r="J40" s="15"/>
      <c r="K40" s="30"/>
      <c r="L40" s="31"/>
      <c r="M40" s="31"/>
      <c r="N40" s="31"/>
      <c r="O40" s="32">
        <f t="shared" ref="O40:Z40" si="38">SUM(O3:O39)</f>
        <v>532374</v>
      </c>
      <c r="P40" s="32">
        <f t="shared" si="38"/>
        <v>439023.6</v>
      </c>
      <c r="Q40" s="32">
        <f t="shared" si="38"/>
        <v>93350.399999999994</v>
      </c>
      <c r="R40" s="32">
        <f t="shared" si="38"/>
        <v>63147</v>
      </c>
      <c r="S40" s="32">
        <f t="shared" si="38"/>
        <v>22740</v>
      </c>
      <c r="T40" s="32">
        <f t="shared" si="38"/>
        <v>618261</v>
      </c>
      <c r="U40" s="32">
        <f t="shared" si="38"/>
        <v>189105.59999999998</v>
      </c>
      <c r="V40" s="32">
        <f t="shared" si="38"/>
        <v>22691</v>
      </c>
      <c r="W40" s="32">
        <f t="shared" si="38"/>
        <v>1972</v>
      </c>
      <c r="X40" s="32">
        <f t="shared" si="38"/>
        <v>593598</v>
      </c>
      <c r="Y40" s="32">
        <f t="shared" si="38"/>
        <v>3430</v>
      </c>
      <c r="Z40" s="32">
        <f t="shared" si="38"/>
        <v>0</v>
      </c>
      <c r="AA40" s="32">
        <f>SUM(AA3:AA30)</f>
        <v>0</v>
      </c>
      <c r="AB40" s="32">
        <f>SUM(AB3:AB39)</f>
        <v>20000</v>
      </c>
      <c r="AC40" s="32">
        <f>SUM(AC3:AC39)</f>
        <v>570168</v>
      </c>
    </row>
    <row r="41" spans="1:29" ht="15.75" x14ac:dyDescent="0.3">
      <c r="A41" s="33"/>
      <c r="B41" s="34"/>
      <c r="C41" s="34"/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5"/>
      <c r="Q41" s="33"/>
      <c r="R41" s="33"/>
      <c r="S41" s="33"/>
      <c r="T41" s="33"/>
      <c r="U41" s="33"/>
      <c r="V41" s="33"/>
      <c r="W41" s="33"/>
      <c r="X41" s="33"/>
      <c r="Y41" s="36"/>
      <c r="Z41" s="33"/>
      <c r="AA41" s="33"/>
      <c r="AB41" s="33"/>
      <c r="AC41" s="35" t="s">
        <v>70</v>
      </c>
    </row>
    <row r="43" spans="1:29" x14ac:dyDescent="0.25">
      <c r="B43" t="s">
        <v>75</v>
      </c>
    </row>
    <row r="44" spans="1:29" x14ac:dyDescent="0.25">
      <c r="B44" t="s">
        <v>76</v>
      </c>
    </row>
    <row r="45" spans="1:29" x14ac:dyDescent="0.25">
      <c r="B45" t="s">
        <v>77</v>
      </c>
      <c r="F45">
        <v>30</v>
      </c>
    </row>
  </sheetData>
  <mergeCells count="2">
    <mergeCell ref="A1:AC1"/>
    <mergeCell ref="B36:C36"/>
  </mergeCells>
  <pageMargins left="0.25" right="0.25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5"/>
  <sheetViews>
    <sheetView tabSelected="1" zoomScale="98" zoomScaleNormal="98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L38" sqref="L38"/>
    </sheetView>
  </sheetViews>
  <sheetFormatPr defaultRowHeight="15" x14ac:dyDescent="0.25"/>
  <cols>
    <col min="1" max="1" width="4.5703125" customWidth="1"/>
    <col min="2" max="2" width="24" customWidth="1"/>
    <col min="3" max="4" width="0" hidden="1" customWidth="1"/>
    <col min="5" max="5" width="0.28515625" hidden="1" customWidth="1"/>
    <col min="6" max="6" width="8.140625" customWidth="1"/>
    <col min="8" max="8" width="7.140625" customWidth="1"/>
    <col min="9" max="9" width="0" hidden="1" customWidth="1"/>
    <col min="15" max="15" width="10" bestFit="1" customWidth="1"/>
    <col min="16" max="16" width="10.5703125" customWidth="1"/>
    <col min="17" max="17" width="10" bestFit="1" customWidth="1"/>
    <col min="20" max="20" width="10.5703125" customWidth="1"/>
    <col min="21" max="21" width="11.140625" bestFit="1" customWidth="1"/>
    <col min="24" max="24" width="11.5703125" customWidth="1"/>
    <col min="27" max="27" width="0" hidden="1" customWidth="1"/>
    <col min="29" max="29" width="10.140625" customWidth="1"/>
  </cols>
  <sheetData>
    <row r="1" spans="1:29" x14ac:dyDescent="0.25">
      <c r="A1" s="62" t="s">
        <v>78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4"/>
    </row>
    <row r="2" spans="1:29" ht="76.5" x14ac:dyDescent="0.2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4" t="s">
        <v>18</v>
      </c>
      <c r="T2" s="6" t="s">
        <v>19</v>
      </c>
      <c r="U2" s="3" t="s">
        <v>20</v>
      </c>
      <c r="V2" s="1" t="s">
        <v>21</v>
      </c>
      <c r="W2" s="4" t="s">
        <v>22</v>
      </c>
      <c r="X2" s="4" t="s">
        <v>23</v>
      </c>
      <c r="Y2" s="7" t="s">
        <v>24</v>
      </c>
      <c r="Z2" s="6" t="s">
        <v>25</v>
      </c>
      <c r="AA2" s="6" t="s">
        <v>26</v>
      </c>
      <c r="AB2" s="6" t="s">
        <v>27</v>
      </c>
      <c r="AC2" s="50" t="s">
        <v>28</v>
      </c>
    </row>
    <row r="3" spans="1:29" ht="15.75" x14ac:dyDescent="0.3">
      <c r="A3" s="8">
        <v>1</v>
      </c>
      <c r="B3" s="9" t="s">
        <v>29</v>
      </c>
      <c r="C3" s="10"/>
      <c r="D3" s="10"/>
      <c r="E3" s="9"/>
      <c r="F3" s="9"/>
      <c r="G3" s="9">
        <f>31-F3</f>
        <v>31</v>
      </c>
      <c r="H3" s="9"/>
      <c r="I3" s="9"/>
      <c r="J3" s="8">
        <v>34000</v>
      </c>
      <c r="K3" s="11">
        <f>25000+5000</f>
        <v>30000</v>
      </c>
      <c r="L3" s="11">
        <f t="shared" ref="L3:L13" si="0">ROUND(K3/$F$45,0)</f>
        <v>968</v>
      </c>
      <c r="M3" s="11">
        <f>ROUND(N3/$F$45,0)</f>
        <v>129</v>
      </c>
      <c r="N3" s="11">
        <f>2000+2000</f>
        <v>4000</v>
      </c>
      <c r="O3" s="11">
        <f>L3*F3</f>
        <v>0</v>
      </c>
      <c r="P3" s="11">
        <f t="shared" ref="P3" si="1">O3*1</f>
        <v>0</v>
      </c>
      <c r="Q3" s="11">
        <v>0</v>
      </c>
      <c r="R3" s="11">
        <f t="shared" ref="R3:R13" si="2">M3*F3</f>
        <v>0</v>
      </c>
      <c r="S3" s="11">
        <f t="shared" ref="S3:S9" si="3">(L3+M3)*H3</f>
        <v>0</v>
      </c>
      <c r="T3" s="11">
        <f t="shared" ref="T3:T39" si="4">O3+((R3)+S3)</f>
        <v>0</v>
      </c>
      <c r="U3" s="11">
        <v>0</v>
      </c>
      <c r="V3" s="12">
        <f>IF(K3&lt;=15000,ROUND(U3*12%,0),0)</f>
        <v>0</v>
      </c>
      <c r="W3" s="12">
        <f>IF(J3&lt;=21000,ROUND(O3*0.75%,0),0)</f>
        <v>0</v>
      </c>
      <c r="X3" s="11">
        <f t="shared" ref="X3:X39" si="5">T3-V3-W3</f>
        <v>0</v>
      </c>
      <c r="Y3" s="13" t="b">
        <f t="shared" ref="Y3:Y38" si="6">IF(T3&gt;40000,200,IF(T3&gt;25000,150,IF(T3&gt;15000,130,IF(T3&gt;10000,110,IF(T3&gt;0,0)))))</f>
        <v>0</v>
      </c>
      <c r="Z3" s="11"/>
      <c r="AA3" s="11"/>
      <c r="AB3" s="11"/>
      <c r="AC3" s="11">
        <f>T3-V3-W3-Y3-Z3-AB3</f>
        <v>0</v>
      </c>
    </row>
    <row r="4" spans="1:29" s="38" customFormat="1" ht="16.5" x14ac:dyDescent="0.3">
      <c r="A4" s="8">
        <v>2</v>
      </c>
      <c r="B4" s="10" t="s">
        <v>30</v>
      </c>
      <c r="C4" s="10"/>
      <c r="D4" s="10"/>
      <c r="E4" s="14"/>
      <c r="F4" s="9"/>
      <c r="G4" s="9">
        <f t="shared" ref="G4:G39" si="7">31-F4</f>
        <v>31</v>
      </c>
      <c r="H4" s="9"/>
      <c r="I4" s="9"/>
      <c r="J4" s="8">
        <v>48000</v>
      </c>
      <c r="K4" s="11">
        <f>30000+3000+2000</f>
        <v>35000</v>
      </c>
      <c r="L4" s="11">
        <f t="shared" si="0"/>
        <v>1129</v>
      </c>
      <c r="M4" s="11">
        <f>ROUND(N4/$F$45,0)</f>
        <v>419</v>
      </c>
      <c r="N4" s="11">
        <f>7500+2500+3000</f>
        <v>13000</v>
      </c>
      <c r="O4" s="11">
        <f t="shared" ref="O4:O39" si="8">L4*F4</f>
        <v>0</v>
      </c>
      <c r="P4" s="11">
        <f>O4*1</f>
        <v>0</v>
      </c>
      <c r="Q4" s="11">
        <v>0</v>
      </c>
      <c r="R4" s="11">
        <f t="shared" si="2"/>
        <v>0</v>
      </c>
      <c r="S4" s="11">
        <f t="shared" si="3"/>
        <v>0</v>
      </c>
      <c r="T4" s="11">
        <f t="shared" si="4"/>
        <v>0</v>
      </c>
      <c r="U4" s="11">
        <v>0</v>
      </c>
      <c r="V4" s="12">
        <f>IF(K4&lt;=15000,ROUND(U4*12%,0),0)</f>
        <v>0</v>
      </c>
      <c r="W4" s="12">
        <f>IF(J4&lt;=21000,ROUND(O4*0.75%,0),0)</f>
        <v>0</v>
      </c>
      <c r="X4" s="11">
        <f t="shared" si="5"/>
        <v>0</v>
      </c>
      <c r="Y4" s="13" t="b">
        <f t="shared" si="6"/>
        <v>0</v>
      </c>
      <c r="Z4" s="11"/>
      <c r="AA4" s="11"/>
      <c r="AB4" s="11"/>
      <c r="AC4" s="11">
        <f>T4-V4-W4-Y4-Z4-AB4</f>
        <v>0</v>
      </c>
    </row>
    <row r="5" spans="1:29" s="38" customFormat="1" ht="16.5" x14ac:dyDescent="0.3">
      <c r="A5" s="8">
        <v>3</v>
      </c>
      <c r="B5" s="9" t="s">
        <v>31</v>
      </c>
      <c r="C5" s="10"/>
      <c r="D5" s="10"/>
      <c r="E5" s="14"/>
      <c r="F5" s="9"/>
      <c r="G5" s="9">
        <f t="shared" si="7"/>
        <v>31</v>
      </c>
      <c r="H5" s="9"/>
      <c r="I5" s="9"/>
      <c r="J5" s="8">
        <v>25200</v>
      </c>
      <c r="K5" s="11">
        <v>23200</v>
      </c>
      <c r="L5" s="11">
        <f t="shared" si="0"/>
        <v>748</v>
      </c>
      <c r="M5" s="11">
        <f t="shared" ref="M5:M13" si="9">ROUND(N5/$F$45,0)</f>
        <v>65</v>
      </c>
      <c r="N5" s="11">
        <v>2000</v>
      </c>
      <c r="O5" s="11">
        <f t="shared" si="8"/>
        <v>0</v>
      </c>
      <c r="P5" s="11">
        <f>O5*54%</f>
        <v>0</v>
      </c>
      <c r="Q5" s="11">
        <f>O5*0.46</f>
        <v>0</v>
      </c>
      <c r="R5" s="11">
        <f t="shared" si="2"/>
        <v>0</v>
      </c>
      <c r="S5" s="11">
        <f t="shared" si="3"/>
        <v>0</v>
      </c>
      <c r="T5" s="11">
        <f t="shared" si="4"/>
        <v>0</v>
      </c>
      <c r="U5" s="11">
        <f t="shared" ref="U5:U35" si="10">+P5</f>
        <v>0</v>
      </c>
      <c r="V5" s="12">
        <f>IF(U5&lt;=15000,ROUND(U5*12%,0),0)</f>
        <v>0</v>
      </c>
      <c r="W5" s="12">
        <v>95</v>
      </c>
      <c r="X5" s="11">
        <f t="shared" si="5"/>
        <v>-95</v>
      </c>
      <c r="Y5" s="13" t="b">
        <f t="shared" si="6"/>
        <v>0</v>
      </c>
      <c r="Z5" s="11"/>
      <c r="AA5" s="11"/>
      <c r="AB5" s="11"/>
      <c r="AC5" s="11">
        <f>T5-V5-W5-Y5-Z5-AB5-AA5</f>
        <v>-95</v>
      </c>
    </row>
    <row r="6" spans="1:29" s="38" customFormat="1" ht="16.5" x14ac:dyDescent="0.3">
      <c r="A6" s="8">
        <v>4</v>
      </c>
      <c r="B6" s="10" t="s">
        <v>32</v>
      </c>
      <c r="C6" s="10"/>
      <c r="D6" s="10"/>
      <c r="E6" s="9" t="s">
        <v>33</v>
      </c>
      <c r="F6" s="9"/>
      <c r="G6" s="9">
        <f t="shared" si="7"/>
        <v>31</v>
      </c>
      <c r="H6" s="9"/>
      <c r="I6" s="15"/>
      <c r="J6" s="8">
        <v>25000</v>
      </c>
      <c r="K6" s="11">
        <v>23000</v>
      </c>
      <c r="L6" s="11">
        <f t="shared" si="0"/>
        <v>742</v>
      </c>
      <c r="M6" s="11">
        <f t="shared" si="9"/>
        <v>65</v>
      </c>
      <c r="N6" s="11">
        <v>2000</v>
      </c>
      <c r="O6" s="11">
        <f>L6*F6</f>
        <v>0</v>
      </c>
      <c r="P6" s="11">
        <f t="shared" ref="P6" si="11">O6*1</f>
        <v>0</v>
      </c>
      <c r="Q6" s="11">
        <v>0</v>
      </c>
      <c r="R6" s="11">
        <f t="shared" si="2"/>
        <v>0</v>
      </c>
      <c r="S6" s="11">
        <f>(L6+M6)*H6</f>
        <v>0</v>
      </c>
      <c r="T6" s="11">
        <f t="shared" si="4"/>
        <v>0</v>
      </c>
      <c r="U6" s="11">
        <v>0</v>
      </c>
      <c r="V6" s="12">
        <f t="shared" ref="V6" si="12">IF(K6&lt;=15000,ROUND(U6*12%,0),0)</f>
        <v>0</v>
      </c>
      <c r="W6" s="12">
        <f t="shared" ref="W6:W11" si="13">IF(J6&lt;=21000,ROUND(O6*0.75%,0),0)</f>
        <v>0</v>
      </c>
      <c r="X6" s="11">
        <f t="shared" si="5"/>
        <v>0</v>
      </c>
      <c r="Y6" s="13" t="b">
        <f t="shared" si="6"/>
        <v>0</v>
      </c>
      <c r="Z6" s="11"/>
      <c r="AA6" s="11"/>
      <c r="AB6" s="11"/>
      <c r="AC6" s="11">
        <f t="shared" ref="AC6" si="14">T6-V6-W6-Y6-Z6-AB6</f>
        <v>0</v>
      </c>
    </row>
    <row r="7" spans="1:29" s="38" customFormat="1" ht="16.5" x14ac:dyDescent="0.3">
      <c r="A7" s="8">
        <v>5</v>
      </c>
      <c r="B7" s="10" t="s">
        <v>34</v>
      </c>
      <c r="C7" s="10"/>
      <c r="D7" s="10"/>
      <c r="E7" s="9" t="s">
        <v>33</v>
      </c>
      <c r="F7" s="9"/>
      <c r="G7" s="9">
        <f t="shared" si="7"/>
        <v>31</v>
      </c>
      <c r="H7" s="9"/>
      <c r="I7" s="15"/>
      <c r="J7" s="8">
        <v>20100</v>
      </c>
      <c r="K7" s="11">
        <v>18100</v>
      </c>
      <c r="L7" s="11">
        <f t="shared" si="0"/>
        <v>584</v>
      </c>
      <c r="M7" s="11">
        <f t="shared" si="9"/>
        <v>65</v>
      </c>
      <c r="N7" s="11">
        <v>2000</v>
      </c>
      <c r="O7" s="11">
        <f>L7*F7</f>
        <v>0</v>
      </c>
      <c r="P7" s="11">
        <f>O7*0.6</f>
        <v>0</v>
      </c>
      <c r="Q7" s="11">
        <f>O7*0.4</f>
        <v>0</v>
      </c>
      <c r="R7" s="11">
        <f t="shared" si="2"/>
        <v>0</v>
      </c>
      <c r="S7" s="11">
        <f>(L7+M7)*H7</f>
        <v>0</v>
      </c>
      <c r="T7" s="11">
        <f t="shared" si="4"/>
        <v>0</v>
      </c>
      <c r="U7" s="11">
        <f t="shared" ref="U7" si="15">+P7</f>
        <v>0</v>
      </c>
      <c r="V7" s="12">
        <f>IF(U7&lt;=15000,ROUND(U7*12%,0),0)</f>
        <v>0</v>
      </c>
      <c r="W7" s="12">
        <f t="shared" si="13"/>
        <v>0</v>
      </c>
      <c r="X7" s="11">
        <f t="shared" si="5"/>
        <v>0</v>
      </c>
      <c r="Y7" s="13" t="b">
        <f t="shared" si="6"/>
        <v>0</v>
      </c>
      <c r="Z7" s="16"/>
      <c r="AA7" s="11"/>
      <c r="AB7" s="11"/>
      <c r="AC7" s="11">
        <f>T7-V7-W7-Y7-Z7-AB7</f>
        <v>0</v>
      </c>
    </row>
    <row r="8" spans="1:29" s="38" customFormat="1" ht="16.5" x14ac:dyDescent="0.3">
      <c r="A8" s="8">
        <v>6</v>
      </c>
      <c r="B8" s="10" t="s">
        <v>35</v>
      </c>
      <c r="C8" s="10"/>
      <c r="D8" s="10"/>
      <c r="E8" s="9" t="s">
        <v>33</v>
      </c>
      <c r="F8" s="9"/>
      <c r="G8" s="9">
        <f t="shared" si="7"/>
        <v>31</v>
      </c>
      <c r="H8" s="9"/>
      <c r="I8" s="15"/>
      <c r="J8" s="8">
        <v>17950</v>
      </c>
      <c r="K8" s="11">
        <f>12000+1000</f>
        <v>13000</v>
      </c>
      <c r="L8" s="11">
        <f t="shared" si="0"/>
        <v>419</v>
      </c>
      <c r="M8" s="11">
        <f t="shared" si="9"/>
        <v>160</v>
      </c>
      <c r="N8" s="11">
        <f>2000+1000+1000+950</f>
        <v>4950</v>
      </c>
      <c r="O8" s="11">
        <f t="shared" si="8"/>
        <v>0</v>
      </c>
      <c r="P8" s="11">
        <f>O8*0.7</f>
        <v>0</v>
      </c>
      <c r="Q8" s="11">
        <f>O8*0.3</f>
        <v>0</v>
      </c>
      <c r="R8" s="11">
        <f t="shared" si="2"/>
        <v>0</v>
      </c>
      <c r="S8" s="11">
        <f t="shared" si="3"/>
        <v>0</v>
      </c>
      <c r="T8" s="11">
        <f t="shared" si="4"/>
        <v>0</v>
      </c>
      <c r="U8" s="11">
        <f t="shared" si="10"/>
        <v>0</v>
      </c>
      <c r="V8" s="12">
        <f>IF(K8&lt;=15000,ROUND(U8*12%,0),0)</f>
        <v>0</v>
      </c>
      <c r="W8" s="12">
        <f t="shared" si="13"/>
        <v>0</v>
      </c>
      <c r="X8" s="11">
        <f t="shared" si="5"/>
        <v>0</v>
      </c>
      <c r="Y8" s="13" t="b">
        <f t="shared" si="6"/>
        <v>0</v>
      </c>
      <c r="Z8" s="16"/>
      <c r="AA8" s="11"/>
      <c r="AB8" s="11"/>
      <c r="AC8" s="11">
        <f t="shared" ref="AC8:AC9" si="16">T8-V8-W8-Y8-Z8-AB8</f>
        <v>0</v>
      </c>
    </row>
    <row r="9" spans="1:29" ht="16.5" x14ac:dyDescent="0.3">
      <c r="A9" s="8">
        <v>7</v>
      </c>
      <c r="B9" s="10" t="s">
        <v>36</v>
      </c>
      <c r="C9" s="17"/>
      <c r="D9" s="17"/>
      <c r="E9" s="18" t="s">
        <v>33</v>
      </c>
      <c r="F9" s="9"/>
      <c r="G9" s="9">
        <f t="shared" si="7"/>
        <v>31</v>
      </c>
      <c r="H9" s="18"/>
      <c r="I9" s="19"/>
      <c r="J9" s="8">
        <v>13500</v>
      </c>
      <c r="K9" s="20">
        <v>10500</v>
      </c>
      <c r="L9" s="11">
        <f t="shared" si="0"/>
        <v>339</v>
      </c>
      <c r="M9" s="11">
        <f t="shared" si="9"/>
        <v>97</v>
      </c>
      <c r="N9" s="20">
        <f>1500+1500</f>
        <v>3000</v>
      </c>
      <c r="O9" s="20">
        <f t="shared" si="8"/>
        <v>0</v>
      </c>
      <c r="P9" s="11">
        <f>O9*0.7</f>
        <v>0</v>
      </c>
      <c r="Q9" s="11">
        <f>O9*0.3</f>
        <v>0</v>
      </c>
      <c r="R9" s="11">
        <f t="shared" si="2"/>
        <v>0</v>
      </c>
      <c r="S9" s="11">
        <f t="shared" si="3"/>
        <v>0</v>
      </c>
      <c r="T9" s="11">
        <f t="shared" si="4"/>
        <v>0</v>
      </c>
      <c r="U9" s="20">
        <f t="shared" si="10"/>
        <v>0</v>
      </c>
      <c r="V9" s="12">
        <f>IF(K9&lt;=15000,ROUND(U9*12%,0),0)</f>
        <v>0</v>
      </c>
      <c r="W9" s="12">
        <f t="shared" si="13"/>
        <v>0</v>
      </c>
      <c r="X9" s="11">
        <f t="shared" si="5"/>
        <v>0</v>
      </c>
      <c r="Y9" s="13" t="b">
        <f t="shared" si="6"/>
        <v>0</v>
      </c>
      <c r="Z9" s="21"/>
      <c r="AA9" s="20"/>
      <c r="AB9" s="20"/>
      <c r="AC9" s="11">
        <f t="shared" si="16"/>
        <v>0</v>
      </c>
    </row>
    <row r="10" spans="1:29" s="38" customFormat="1" ht="16.5" x14ac:dyDescent="0.3">
      <c r="A10" s="8">
        <v>8</v>
      </c>
      <c r="B10" s="10" t="s">
        <v>37</v>
      </c>
      <c r="C10" s="10"/>
      <c r="D10" s="10"/>
      <c r="E10" s="8"/>
      <c r="F10" s="9"/>
      <c r="G10" s="9">
        <f t="shared" si="7"/>
        <v>31</v>
      </c>
      <c r="H10" s="9"/>
      <c r="I10" s="15"/>
      <c r="J10" s="8">
        <v>21000</v>
      </c>
      <c r="K10" s="11">
        <f>15000+1000+1000</f>
        <v>17000</v>
      </c>
      <c r="L10" s="11">
        <f t="shared" si="0"/>
        <v>548</v>
      </c>
      <c r="M10" s="11">
        <f t="shared" si="9"/>
        <v>129</v>
      </c>
      <c r="N10" s="11">
        <f>2000+2000</f>
        <v>4000</v>
      </c>
      <c r="O10" s="11">
        <f t="shared" si="8"/>
        <v>0</v>
      </c>
      <c r="P10" s="11">
        <f>O10*0.7</f>
        <v>0</v>
      </c>
      <c r="Q10" s="11">
        <f>O10*0.3</f>
        <v>0</v>
      </c>
      <c r="R10" s="11">
        <f t="shared" si="2"/>
        <v>0</v>
      </c>
      <c r="S10" s="11">
        <f>L10*H10</f>
        <v>0</v>
      </c>
      <c r="T10" s="11">
        <f t="shared" si="4"/>
        <v>0</v>
      </c>
      <c r="U10" s="11">
        <f t="shared" si="10"/>
        <v>0</v>
      </c>
      <c r="V10" s="12">
        <f>IF(U10&lt;=15000,ROUND(U10*12%,0),0)</f>
        <v>0</v>
      </c>
      <c r="W10" s="12">
        <f t="shared" si="13"/>
        <v>0</v>
      </c>
      <c r="X10" s="11">
        <f t="shared" si="5"/>
        <v>0</v>
      </c>
      <c r="Y10" s="13" t="b">
        <f t="shared" si="6"/>
        <v>0</v>
      </c>
      <c r="Z10" s="37"/>
      <c r="AA10" s="11"/>
      <c r="AB10" s="11"/>
      <c r="AC10" s="11">
        <f>T10-V10-W10-Y10-Z10-AB10-AA10</f>
        <v>0</v>
      </c>
    </row>
    <row r="11" spans="1:29" s="38" customFormat="1" ht="16.5" x14ac:dyDescent="0.3">
      <c r="A11" s="8">
        <v>9</v>
      </c>
      <c r="B11" s="10" t="s">
        <v>38</v>
      </c>
      <c r="C11" s="10"/>
      <c r="D11" s="10"/>
      <c r="E11" s="14"/>
      <c r="F11" s="9"/>
      <c r="G11" s="9">
        <f t="shared" si="7"/>
        <v>31</v>
      </c>
      <c r="H11" s="9"/>
      <c r="I11" s="9"/>
      <c r="J11" s="8">
        <v>10280</v>
      </c>
      <c r="K11" s="11">
        <v>10280</v>
      </c>
      <c r="L11" s="11">
        <f t="shared" si="0"/>
        <v>332</v>
      </c>
      <c r="M11" s="11">
        <f t="shared" si="9"/>
        <v>0</v>
      </c>
      <c r="N11" s="11"/>
      <c r="O11" s="11">
        <f t="shared" si="8"/>
        <v>0</v>
      </c>
      <c r="P11" s="11">
        <f>O11*0.6</f>
        <v>0</v>
      </c>
      <c r="Q11" s="11">
        <f>O11*0.4</f>
        <v>0</v>
      </c>
      <c r="R11" s="11">
        <f t="shared" si="2"/>
        <v>0</v>
      </c>
      <c r="S11" s="11">
        <f t="shared" ref="S11:S39" si="17">(L11+M11)*H11</f>
        <v>0</v>
      </c>
      <c r="T11" s="11">
        <f t="shared" si="4"/>
        <v>0</v>
      </c>
      <c r="U11" s="11">
        <f t="shared" si="10"/>
        <v>0</v>
      </c>
      <c r="V11" s="12">
        <f>IF(K11&lt;=15000,ROUND(U11*12%,0),0)</f>
        <v>0</v>
      </c>
      <c r="W11" s="12">
        <f t="shared" si="13"/>
        <v>0</v>
      </c>
      <c r="X11" s="11">
        <f t="shared" si="5"/>
        <v>0</v>
      </c>
      <c r="Y11" s="13" t="b">
        <f t="shared" si="6"/>
        <v>0</v>
      </c>
      <c r="Z11" s="37"/>
      <c r="AA11" s="11"/>
      <c r="AB11" s="11"/>
      <c r="AC11" s="11">
        <f t="shared" ref="AC11:AC35" si="18">T11-V11-W11-Y11-Z11-AB11</f>
        <v>0</v>
      </c>
    </row>
    <row r="12" spans="1:29" s="38" customFormat="1" ht="16.5" x14ac:dyDescent="0.3">
      <c r="A12" s="8">
        <v>10</v>
      </c>
      <c r="B12" s="10" t="s">
        <v>39</v>
      </c>
      <c r="C12" s="10"/>
      <c r="D12" s="10"/>
      <c r="E12" s="14"/>
      <c r="F12" s="9"/>
      <c r="G12" s="9">
        <f t="shared" si="7"/>
        <v>31</v>
      </c>
      <c r="H12" s="9"/>
      <c r="I12" s="9"/>
      <c r="J12" s="8">
        <v>21100</v>
      </c>
      <c r="K12" s="11">
        <v>21100</v>
      </c>
      <c r="L12" s="11">
        <f t="shared" si="0"/>
        <v>681</v>
      </c>
      <c r="M12" s="11">
        <f t="shared" si="9"/>
        <v>0</v>
      </c>
      <c r="N12" s="11"/>
      <c r="O12" s="11">
        <f t="shared" si="8"/>
        <v>0</v>
      </c>
      <c r="P12" s="11">
        <f>O12*0.5</f>
        <v>0</v>
      </c>
      <c r="Q12" s="11">
        <f>O12*0.5</f>
        <v>0</v>
      </c>
      <c r="R12" s="11">
        <f t="shared" si="2"/>
        <v>0</v>
      </c>
      <c r="S12" s="11">
        <f t="shared" si="17"/>
        <v>0</v>
      </c>
      <c r="T12" s="11">
        <f t="shared" si="4"/>
        <v>0</v>
      </c>
      <c r="U12" s="11">
        <f t="shared" si="10"/>
        <v>0</v>
      </c>
      <c r="V12" s="12">
        <f>IF(K11&lt;=15000,ROUND(U12*12%,0),0)</f>
        <v>0</v>
      </c>
      <c r="W12" s="12">
        <v>83</v>
      </c>
      <c r="X12" s="11">
        <f t="shared" si="5"/>
        <v>-83</v>
      </c>
      <c r="Y12" s="13" t="b">
        <f t="shared" si="6"/>
        <v>0</v>
      </c>
      <c r="Z12" s="16"/>
      <c r="AA12" s="11"/>
      <c r="AB12" s="11"/>
      <c r="AC12" s="11">
        <f t="shared" si="18"/>
        <v>-83</v>
      </c>
    </row>
    <row r="13" spans="1:29" s="38" customFormat="1" ht="16.5" x14ac:dyDescent="0.3">
      <c r="A13" s="8">
        <v>11</v>
      </c>
      <c r="B13" s="10" t="s">
        <v>40</v>
      </c>
      <c r="C13" s="10"/>
      <c r="D13" s="10"/>
      <c r="E13" s="14"/>
      <c r="F13" s="9"/>
      <c r="G13" s="9">
        <f t="shared" si="7"/>
        <v>31</v>
      </c>
      <c r="H13" s="9"/>
      <c r="I13" s="9"/>
      <c r="J13" s="8">
        <v>7380</v>
      </c>
      <c r="K13" s="11">
        <f>6500</f>
        <v>6500</v>
      </c>
      <c r="L13" s="11">
        <f t="shared" si="0"/>
        <v>210</v>
      </c>
      <c r="M13" s="11">
        <f t="shared" si="9"/>
        <v>28</v>
      </c>
      <c r="N13" s="11">
        <f>300+580</f>
        <v>880</v>
      </c>
      <c r="O13" s="11">
        <f t="shared" si="8"/>
        <v>0</v>
      </c>
      <c r="P13" s="11">
        <f>O13*1</f>
        <v>0</v>
      </c>
      <c r="Q13" s="11">
        <v>0</v>
      </c>
      <c r="R13" s="11">
        <f t="shared" si="2"/>
        <v>0</v>
      </c>
      <c r="S13" s="11">
        <f t="shared" si="17"/>
        <v>0</v>
      </c>
      <c r="T13" s="11">
        <f t="shared" si="4"/>
        <v>0</v>
      </c>
      <c r="U13" s="11">
        <f t="shared" si="10"/>
        <v>0</v>
      </c>
      <c r="V13" s="12">
        <f t="shared" ref="V13:V38" si="19">IF(K13&lt;=15000,ROUND(U13*12%,0),0)</f>
        <v>0</v>
      </c>
      <c r="W13" s="12">
        <f t="shared" ref="W13:W39" si="20">IF(J13&lt;=21000,ROUND(O13*0.75%,0),0)</f>
        <v>0</v>
      </c>
      <c r="X13" s="11">
        <f t="shared" si="5"/>
        <v>0</v>
      </c>
      <c r="Y13" s="13" t="b">
        <f t="shared" si="6"/>
        <v>0</v>
      </c>
      <c r="Z13" s="16"/>
      <c r="AA13" s="11"/>
      <c r="AB13" s="11"/>
      <c r="AC13" s="11">
        <f t="shared" si="18"/>
        <v>0</v>
      </c>
    </row>
    <row r="14" spans="1:29" s="61" customFormat="1" ht="16.5" x14ac:dyDescent="0.3">
      <c r="A14" s="54">
        <v>12</v>
      </c>
      <c r="B14" s="55" t="s">
        <v>41</v>
      </c>
      <c r="C14" s="55"/>
      <c r="D14" s="55"/>
      <c r="E14" s="55" t="s">
        <v>42</v>
      </c>
      <c r="F14" s="55"/>
      <c r="G14" s="9">
        <f t="shared" si="7"/>
        <v>31</v>
      </c>
      <c r="H14" s="55"/>
      <c r="I14" s="56"/>
      <c r="J14" s="56"/>
      <c r="K14" s="57"/>
      <c r="L14" s="57">
        <v>220</v>
      </c>
      <c r="M14" s="57">
        <v>10</v>
      </c>
      <c r="N14" s="57"/>
      <c r="O14" s="57">
        <f t="shared" si="8"/>
        <v>0</v>
      </c>
      <c r="P14" s="57">
        <f t="shared" ref="P14:P35" si="21">O14*0.7</f>
        <v>0</v>
      </c>
      <c r="Q14" s="57">
        <f t="shared" ref="Q14:Q35" si="22">O14*0.3</f>
        <v>0</v>
      </c>
      <c r="R14" s="57">
        <f>(10)*F14</f>
        <v>0</v>
      </c>
      <c r="S14" s="57">
        <f t="shared" si="17"/>
        <v>0</v>
      </c>
      <c r="T14" s="57">
        <f t="shared" si="4"/>
        <v>0</v>
      </c>
      <c r="U14" s="57">
        <f t="shared" si="10"/>
        <v>0</v>
      </c>
      <c r="V14" s="58">
        <f t="shared" si="19"/>
        <v>0</v>
      </c>
      <c r="W14" s="12">
        <f t="shared" si="20"/>
        <v>0</v>
      </c>
      <c r="X14" s="57">
        <f t="shared" si="5"/>
        <v>0</v>
      </c>
      <c r="Y14" s="59" t="b">
        <f t="shared" si="6"/>
        <v>0</v>
      </c>
      <c r="Z14" s="60"/>
      <c r="AA14" s="57"/>
      <c r="AB14" s="57"/>
      <c r="AC14" s="57">
        <f t="shared" si="18"/>
        <v>0</v>
      </c>
    </row>
    <row r="15" spans="1:29" ht="16.5" x14ac:dyDescent="0.3">
      <c r="A15" s="8">
        <v>13</v>
      </c>
      <c r="B15" s="9" t="s">
        <v>43</v>
      </c>
      <c r="C15" s="9"/>
      <c r="D15" s="9"/>
      <c r="E15" s="9" t="s">
        <v>42</v>
      </c>
      <c r="F15" s="9"/>
      <c r="G15" s="9">
        <f t="shared" si="7"/>
        <v>31</v>
      </c>
      <c r="H15" s="9"/>
      <c r="I15" s="15" t="s">
        <v>44</v>
      </c>
      <c r="J15" s="15"/>
      <c r="K15" s="11"/>
      <c r="L15" s="11">
        <v>325</v>
      </c>
      <c r="M15" s="11" t="e">
        <f t="shared" ref="M15:M34" si="23">R15/F15</f>
        <v>#DIV/0!</v>
      </c>
      <c r="N15" s="11"/>
      <c r="O15" s="11">
        <f t="shared" si="8"/>
        <v>0</v>
      </c>
      <c r="P15" s="11">
        <f t="shared" si="21"/>
        <v>0</v>
      </c>
      <c r="Q15" s="11">
        <f t="shared" si="22"/>
        <v>0</v>
      </c>
      <c r="R15" s="11">
        <f>(15+45+15)*F15</f>
        <v>0</v>
      </c>
      <c r="S15" s="11" t="e">
        <f t="shared" si="17"/>
        <v>#DIV/0!</v>
      </c>
      <c r="T15" s="11" t="e">
        <f t="shared" si="4"/>
        <v>#DIV/0!</v>
      </c>
      <c r="U15" s="11">
        <f t="shared" si="10"/>
        <v>0</v>
      </c>
      <c r="V15" s="12">
        <f t="shared" si="19"/>
        <v>0</v>
      </c>
      <c r="W15" s="12">
        <f t="shared" si="20"/>
        <v>0</v>
      </c>
      <c r="X15" s="11" t="e">
        <f t="shared" si="5"/>
        <v>#DIV/0!</v>
      </c>
      <c r="Y15" s="13" t="e">
        <f t="shared" si="6"/>
        <v>#DIV/0!</v>
      </c>
      <c r="Z15" s="16"/>
      <c r="AA15" s="11"/>
      <c r="AB15" s="11"/>
      <c r="AC15" s="11" t="e">
        <f t="shared" si="18"/>
        <v>#DIV/0!</v>
      </c>
    </row>
    <row r="16" spans="1:29" ht="16.5" x14ac:dyDescent="0.3">
      <c r="A16" s="8">
        <v>14</v>
      </c>
      <c r="B16" s="9" t="s">
        <v>45</v>
      </c>
      <c r="C16" s="9"/>
      <c r="D16" s="9"/>
      <c r="E16" s="9" t="s">
        <v>42</v>
      </c>
      <c r="F16" s="9"/>
      <c r="G16" s="9">
        <f t="shared" si="7"/>
        <v>31</v>
      </c>
      <c r="H16" s="9"/>
      <c r="I16" s="15" t="s">
        <v>46</v>
      </c>
      <c r="J16" s="15"/>
      <c r="K16" s="11"/>
      <c r="L16" s="11">
        <v>325</v>
      </c>
      <c r="M16" s="11" t="e">
        <f t="shared" si="23"/>
        <v>#DIV/0!</v>
      </c>
      <c r="N16" s="11"/>
      <c r="O16" s="11">
        <f t="shared" si="8"/>
        <v>0</v>
      </c>
      <c r="P16" s="11">
        <f t="shared" si="21"/>
        <v>0</v>
      </c>
      <c r="Q16" s="11">
        <f t="shared" si="22"/>
        <v>0</v>
      </c>
      <c r="R16" s="11">
        <f>(15+20+15)*F16</f>
        <v>0</v>
      </c>
      <c r="S16" s="11" t="e">
        <f t="shared" si="17"/>
        <v>#DIV/0!</v>
      </c>
      <c r="T16" s="11" t="e">
        <f t="shared" si="4"/>
        <v>#DIV/0!</v>
      </c>
      <c r="U16" s="11">
        <f t="shared" si="10"/>
        <v>0</v>
      </c>
      <c r="V16" s="12">
        <f t="shared" si="19"/>
        <v>0</v>
      </c>
      <c r="W16" s="12">
        <f t="shared" si="20"/>
        <v>0</v>
      </c>
      <c r="X16" s="11" t="e">
        <f t="shared" si="5"/>
        <v>#DIV/0!</v>
      </c>
      <c r="Y16" s="13" t="e">
        <f t="shared" si="6"/>
        <v>#DIV/0!</v>
      </c>
      <c r="Z16" s="16"/>
      <c r="AA16" s="11"/>
      <c r="AB16" s="11"/>
      <c r="AC16" s="11" t="e">
        <f t="shared" si="18"/>
        <v>#DIV/0!</v>
      </c>
    </row>
    <row r="17" spans="1:29" ht="16.5" x14ac:dyDescent="0.3">
      <c r="A17" s="8">
        <v>15</v>
      </c>
      <c r="B17" s="9" t="s">
        <v>47</v>
      </c>
      <c r="C17" s="9"/>
      <c r="D17" s="9"/>
      <c r="E17" s="9" t="s">
        <v>42</v>
      </c>
      <c r="F17" s="9"/>
      <c r="G17" s="9">
        <f t="shared" si="7"/>
        <v>31</v>
      </c>
      <c r="H17" s="9"/>
      <c r="I17" s="15" t="s">
        <v>44</v>
      </c>
      <c r="J17" s="15"/>
      <c r="K17" s="11"/>
      <c r="L17" s="11">
        <v>325</v>
      </c>
      <c r="M17" s="11" t="e">
        <f t="shared" si="23"/>
        <v>#DIV/0!</v>
      </c>
      <c r="N17" s="11"/>
      <c r="O17" s="11">
        <f>L17*F17</f>
        <v>0</v>
      </c>
      <c r="P17" s="11">
        <f t="shared" si="21"/>
        <v>0</v>
      </c>
      <c r="Q17" s="11">
        <f t="shared" si="22"/>
        <v>0</v>
      </c>
      <c r="R17" s="11">
        <f>(35+25+15)*F17</f>
        <v>0</v>
      </c>
      <c r="S17" s="11" t="e">
        <f t="shared" si="17"/>
        <v>#DIV/0!</v>
      </c>
      <c r="T17" s="11" t="e">
        <f t="shared" si="4"/>
        <v>#DIV/0!</v>
      </c>
      <c r="U17" s="11">
        <f t="shared" si="10"/>
        <v>0</v>
      </c>
      <c r="V17" s="12">
        <f t="shared" si="19"/>
        <v>0</v>
      </c>
      <c r="W17" s="12">
        <f t="shared" si="20"/>
        <v>0</v>
      </c>
      <c r="X17" s="11" t="e">
        <f t="shared" si="5"/>
        <v>#DIV/0!</v>
      </c>
      <c r="Y17" s="13" t="e">
        <f t="shared" si="6"/>
        <v>#DIV/0!</v>
      </c>
      <c r="Z17" s="16"/>
      <c r="AA17" s="11"/>
      <c r="AB17" s="11"/>
      <c r="AC17" s="11" t="e">
        <f t="shared" si="18"/>
        <v>#DIV/0!</v>
      </c>
    </row>
    <row r="18" spans="1:29" ht="16.5" x14ac:dyDescent="0.3">
      <c r="A18" s="8">
        <v>16</v>
      </c>
      <c r="B18" s="9" t="s">
        <v>48</v>
      </c>
      <c r="C18" s="9"/>
      <c r="D18" s="9"/>
      <c r="E18" s="9" t="s">
        <v>42</v>
      </c>
      <c r="F18" s="9"/>
      <c r="G18" s="9">
        <f t="shared" si="7"/>
        <v>31</v>
      </c>
      <c r="H18" s="9"/>
      <c r="I18" s="15" t="s">
        <v>44</v>
      </c>
      <c r="J18" s="15"/>
      <c r="K18" s="11"/>
      <c r="L18" s="11">
        <v>335</v>
      </c>
      <c r="M18" s="11" t="e">
        <f t="shared" si="23"/>
        <v>#DIV/0!</v>
      </c>
      <c r="N18" s="11"/>
      <c r="O18" s="11">
        <f t="shared" si="8"/>
        <v>0</v>
      </c>
      <c r="P18" s="11">
        <f t="shared" si="21"/>
        <v>0</v>
      </c>
      <c r="Q18" s="11">
        <f t="shared" si="22"/>
        <v>0</v>
      </c>
      <c r="R18" s="11">
        <f>(25+25+15)*F18</f>
        <v>0</v>
      </c>
      <c r="S18" s="11" t="e">
        <f t="shared" si="17"/>
        <v>#DIV/0!</v>
      </c>
      <c r="T18" s="11" t="e">
        <f t="shared" si="4"/>
        <v>#DIV/0!</v>
      </c>
      <c r="U18" s="11">
        <f t="shared" si="10"/>
        <v>0</v>
      </c>
      <c r="V18" s="12">
        <f t="shared" si="19"/>
        <v>0</v>
      </c>
      <c r="W18" s="12">
        <f t="shared" si="20"/>
        <v>0</v>
      </c>
      <c r="X18" s="11" t="e">
        <f t="shared" si="5"/>
        <v>#DIV/0!</v>
      </c>
      <c r="Y18" s="13" t="e">
        <f t="shared" si="6"/>
        <v>#DIV/0!</v>
      </c>
      <c r="Z18" s="16"/>
      <c r="AA18" s="11"/>
      <c r="AB18" s="11"/>
      <c r="AC18" s="11" t="e">
        <f t="shared" si="18"/>
        <v>#DIV/0!</v>
      </c>
    </row>
    <row r="19" spans="1:29" ht="16.5" x14ac:dyDescent="0.3">
      <c r="A19" s="8">
        <v>17</v>
      </c>
      <c r="B19" s="10" t="s">
        <v>49</v>
      </c>
      <c r="C19" s="10"/>
      <c r="D19" s="10"/>
      <c r="E19" s="9" t="s">
        <v>50</v>
      </c>
      <c r="F19" s="9"/>
      <c r="G19" s="9">
        <f t="shared" si="7"/>
        <v>31</v>
      </c>
      <c r="H19" s="9"/>
      <c r="I19" s="15" t="s">
        <v>44</v>
      </c>
      <c r="J19" s="15"/>
      <c r="K19" s="11"/>
      <c r="L19" s="11">
        <v>325</v>
      </c>
      <c r="M19" s="11" t="e">
        <f t="shared" si="23"/>
        <v>#DIV/0!</v>
      </c>
      <c r="N19" s="11"/>
      <c r="O19" s="11">
        <f t="shared" si="8"/>
        <v>0</v>
      </c>
      <c r="P19" s="11">
        <f t="shared" si="21"/>
        <v>0</v>
      </c>
      <c r="Q19" s="11">
        <f t="shared" si="22"/>
        <v>0</v>
      </c>
      <c r="R19" s="11">
        <f>(35+25+15)*F19</f>
        <v>0</v>
      </c>
      <c r="S19" s="11" t="e">
        <f t="shared" si="17"/>
        <v>#DIV/0!</v>
      </c>
      <c r="T19" s="11" t="e">
        <f t="shared" si="4"/>
        <v>#DIV/0!</v>
      </c>
      <c r="U19" s="11">
        <f t="shared" si="10"/>
        <v>0</v>
      </c>
      <c r="V19" s="12">
        <f t="shared" si="19"/>
        <v>0</v>
      </c>
      <c r="W19" s="12">
        <f t="shared" si="20"/>
        <v>0</v>
      </c>
      <c r="X19" s="11" t="e">
        <f t="shared" si="5"/>
        <v>#DIV/0!</v>
      </c>
      <c r="Y19" s="13" t="e">
        <f t="shared" si="6"/>
        <v>#DIV/0!</v>
      </c>
      <c r="Z19" s="11"/>
      <c r="AA19" s="11"/>
      <c r="AB19" s="11"/>
      <c r="AC19" s="11" t="e">
        <f t="shared" si="18"/>
        <v>#DIV/0!</v>
      </c>
    </row>
    <row r="20" spans="1:29" ht="16.5" x14ac:dyDescent="0.3">
      <c r="A20" s="8">
        <v>18</v>
      </c>
      <c r="B20" s="9" t="s">
        <v>51</v>
      </c>
      <c r="C20" s="9"/>
      <c r="D20" s="9"/>
      <c r="E20" s="9" t="s">
        <v>42</v>
      </c>
      <c r="F20" s="9"/>
      <c r="G20" s="9">
        <f t="shared" si="7"/>
        <v>31</v>
      </c>
      <c r="H20" s="9"/>
      <c r="I20" s="15" t="s">
        <v>44</v>
      </c>
      <c r="J20" s="15"/>
      <c r="K20" s="11"/>
      <c r="L20" s="11">
        <v>325</v>
      </c>
      <c r="M20" s="11" t="e">
        <f t="shared" si="23"/>
        <v>#DIV/0!</v>
      </c>
      <c r="N20" s="11"/>
      <c r="O20" s="11">
        <f t="shared" si="8"/>
        <v>0</v>
      </c>
      <c r="P20" s="11">
        <f t="shared" si="21"/>
        <v>0</v>
      </c>
      <c r="Q20" s="11">
        <f t="shared" si="22"/>
        <v>0</v>
      </c>
      <c r="R20" s="11">
        <f>(15+45+15)*F20</f>
        <v>0</v>
      </c>
      <c r="S20" s="11" t="e">
        <f t="shared" si="17"/>
        <v>#DIV/0!</v>
      </c>
      <c r="T20" s="11" t="e">
        <f t="shared" si="4"/>
        <v>#DIV/0!</v>
      </c>
      <c r="U20" s="11">
        <f t="shared" si="10"/>
        <v>0</v>
      </c>
      <c r="V20" s="12">
        <f t="shared" si="19"/>
        <v>0</v>
      </c>
      <c r="W20" s="12">
        <f t="shared" si="20"/>
        <v>0</v>
      </c>
      <c r="X20" s="11" t="e">
        <f t="shared" si="5"/>
        <v>#DIV/0!</v>
      </c>
      <c r="Y20" s="13" t="e">
        <f t="shared" si="6"/>
        <v>#DIV/0!</v>
      </c>
      <c r="Z20" s="11"/>
      <c r="AA20" s="11"/>
      <c r="AB20" s="11"/>
      <c r="AC20" s="11" t="e">
        <f t="shared" si="18"/>
        <v>#DIV/0!</v>
      </c>
    </row>
    <row r="21" spans="1:29" ht="16.5" x14ac:dyDescent="0.3">
      <c r="A21" s="8">
        <v>19</v>
      </c>
      <c r="B21" s="9" t="s">
        <v>52</v>
      </c>
      <c r="C21" s="9"/>
      <c r="D21" s="9"/>
      <c r="E21" s="9" t="s">
        <v>42</v>
      </c>
      <c r="F21" s="9"/>
      <c r="G21" s="9">
        <f t="shared" si="7"/>
        <v>31</v>
      </c>
      <c r="H21" s="9"/>
      <c r="I21" s="15" t="s">
        <v>44</v>
      </c>
      <c r="J21" s="15"/>
      <c r="K21" s="11"/>
      <c r="L21" s="11">
        <v>325</v>
      </c>
      <c r="M21" s="11" t="e">
        <f t="shared" si="23"/>
        <v>#DIV/0!</v>
      </c>
      <c r="N21" s="11"/>
      <c r="O21" s="11">
        <f>L21*F21</f>
        <v>0</v>
      </c>
      <c r="P21" s="11">
        <f>O21*0.7</f>
        <v>0</v>
      </c>
      <c r="Q21" s="11">
        <f t="shared" si="22"/>
        <v>0</v>
      </c>
      <c r="R21" s="11">
        <f>(15+45+15)*F21</f>
        <v>0</v>
      </c>
      <c r="S21" s="11" t="e">
        <f t="shared" si="17"/>
        <v>#DIV/0!</v>
      </c>
      <c r="T21" s="11" t="e">
        <f t="shared" si="4"/>
        <v>#DIV/0!</v>
      </c>
      <c r="U21" s="11">
        <f>+P21</f>
        <v>0</v>
      </c>
      <c r="V21" s="12">
        <f>IF(K21&lt;=15000,ROUND(U21*12%,0),0)</f>
        <v>0</v>
      </c>
      <c r="W21" s="12">
        <f t="shared" si="20"/>
        <v>0</v>
      </c>
      <c r="X21" s="11" t="e">
        <f t="shared" si="5"/>
        <v>#DIV/0!</v>
      </c>
      <c r="Y21" s="13" t="e">
        <f t="shared" si="6"/>
        <v>#DIV/0!</v>
      </c>
      <c r="Z21" s="11"/>
      <c r="AA21" s="11"/>
      <c r="AB21" s="11"/>
      <c r="AC21" s="11" t="e">
        <f t="shared" si="18"/>
        <v>#DIV/0!</v>
      </c>
    </row>
    <row r="22" spans="1:29" ht="16.5" x14ac:dyDescent="0.3">
      <c r="A22" s="8">
        <v>20</v>
      </c>
      <c r="B22" s="9" t="s">
        <v>53</v>
      </c>
      <c r="C22" s="9"/>
      <c r="D22" s="9"/>
      <c r="E22" s="9"/>
      <c r="F22" s="9"/>
      <c r="G22" s="9">
        <f t="shared" si="7"/>
        <v>31</v>
      </c>
      <c r="H22" s="9"/>
      <c r="I22" s="15" t="s">
        <v>44</v>
      </c>
      <c r="J22" s="15"/>
      <c r="K22" s="11"/>
      <c r="L22" s="11">
        <v>335</v>
      </c>
      <c r="M22" s="11" t="e">
        <f t="shared" si="23"/>
        <v>#DIV/0!</v>
      </c>
      <c r="N22" s="11"/>
      <c r="O22" s="11">
        <f t="shared" si="8"/>
        <v>0</v>
      </c>
      <c r="P22" s="11">
        <f t="shared" si="21"/>
        <v>0</v>
      </c>
      <c r="Q22" s="11">
        <f t="shared" si="22"/>
        <v>0</v>
      </c>
      <c r="R22" s="11">
        <f>(25+25+15)*F22</f>
        <v>0</v>
      </c>
      <c r="S22" s="11" t="e">
        <f t="shared" si="17"/>
        <v>#DIV/0!</v>
      </c>
      <c r="T22" s="11" t="e">
        <f t="shared" si="4"/>
        <v>#DIV/0!</v>
      </c>
      <c r="U22" s="11">
        <f>+P22</f>
        <v>0</v>
      </c>
      <c r="V22" s="12">
        <f t="shared" si="19"/>
        <v>0</v>
      </c>
      <c r="W22" s="12">
        <f t="shared" si="20"/>
        <v>0</v>
      </c>
      <c r="X22" s="11" t="e">
        <f t="shared" si="5"/>
        <v>#DIV/0!</v>
      </c>
      <c r="Y22" s="13" t="e">
        <f t="shared" si="6"/>
        <v>#DIV/0!</v>
      </c>
      <c r="Z22" s="11"/>
      <c r="AA22" s="11"/>
      <c r="AB22" s="11"/>
      <c r="AC22" s="11" t="e">
        <f t="shared" si="18"/>
        <v>#DIV/0!</v>
      </c>
    </row>
    <row r="23" spans="1:29" ht="16.5" x14ac:dyDescent="0.3">
      <c r="A23" s="8">
        <v>21</v>
      </c>
      <c r="B23" s="9" t="s">
        <v>54</v>
      </c>
      <c r="C23" s="9"/>
      <c r="D23" s="9"/>
      <c r="E23" s="22"/>
      <c r="F23" s="9"/>
      <c r="G23" s="9">
        <f t="shared" si="7"/>
        <v>31</v>
      </c>
      <c r="H23" s="9"/>
      <c r="I23" s="15" t="s">
        <v>44</v>
      </c>
      <c r="J23" s="15"/>
      <c r="K23" s="23"/>
      <c r="L23" s="11">
        <v>335</v>
      </c>
      <c r="M23" s="11" t="e">
        <f t="shared" si="23"/>
        <v>#DIV/0!</v>
      </c>
      <c r="N23" s="11"/>
      <c r="O23" s="11">
        <f t="shared" si="8"/>
        <v>0</v>
      </c>
      <c r="P23" s="11">
        <f t="shared" si="21"/>
        <v>0</v>
      </c>
      <c r="Q23" s="11">
        <f t="shared" si="22"/>
        <v>0</v>
      </c>
      <c r="R23" s="11">
        <f>(25+25+15)*F23</f>
        <v>0</v>
      </c>
      <c r="S23" s="11" t="e">
        <f t="shared" si="17"/>
        <v>#DIV/0!</v>
      </c>
      <c r="T23" s="11" t="e">
        <f t="shared" si="4"/>
        <v>#DIV/0!</v>
      </c>
      <c r="U23" s="11">
        <f t="shared" si="10"/>
        <v>0</v>
      </c>
      <c r="V23" s="12">
        <f t="shared" si="19"/>
        <v>0</v>
      </c>
      <c r="W23" s="12">
        <f t="shared" si="20"/>
        <v>0</v>
      </c>
      <c r="X23" s="11" t="e">
        <f t="shared" si="5"/>
        <v>#DIV/0!</v>
      </c>
      <c r="Y23" s="13" t="e">
        <f t="shared" si="6"/>
        <v>#DIV/0!</v>
      </c>
      <c r="Z23" s="11"/>
      <c r="AA23" s="11"/>
      <c r="AB23" s="11"/>
      <c r="AC23" s="11" t="e">
        <f t="shared" si="18"/>
        <v>#DIV/0!</v>
      </c>
    </row>
    <row r="24" spans="1:29" ht="16.5" x14ac:dyDescent="0.3">
      <c r="A24" s="8">
        <v>22</v>
      </c>
      <c r="B24" s="9" t="s">
        <v>55</v>
      </c>
      <c r="C24" s="9"/>
      <c r="D24" s="9"/>
      <c r="E24" s="22"/>
      <c r="F24" s="9"/>
      <c r="G24" s="9">
        <f t="shared" si="7"/>
        <v>31</v>
      </c>
      <c r="H24" s="9"/>
      <c r="I24" s="15" t="s">
        <v>46</v>
      </c>
      <c r="J24" s="15"/>
      <c r="K24" s="23"/>
      <c r="L24" s="11">
        <v>325</v>
      </c>
      <c r="M24" s="11" t="e">
        <f t="shared" si="23"/>
        <v>#DIV/0!</v>
      </c>
      <c r="N24" s="11"/>
      <c r="O24" s="11">
        <f t="shared" si="8"/>
        <v>0</v>
      </c>
      <c r="P24" s="11">
        <f t="shared" si="21"/>
        <v>0</v>
      </c>
      <c r="Q24" s="11">
        <f t="shared" si="22"/>
        <v>0</v>
      </c>
      <c r="R24" s="11">
        <f>(15+20+15)*F24</f>
        <v>0</v>
      </c>
      <c r="S24" s="11" t="e">
        <f t="shared" si="17"/>
        <v>#DIV/0!</v>
      </c>
      <c r="T24" s="11" t="e">
        <f t="shared" si="4"/>
        <v>#DIV/0!</v>
      </c>
      <c r="U24" s="11">
        <f t="shared" si="10"/>
        <v>0</v>
      </c>
      <c r="V24" s="12">
        <f t="shared" si="19"/>
        <v>0</v>
      </c>
      <c r="W24" s="12">
        <f t="shared" si="20"/>
        <v>0</v>
      </c>
      <c r="X24" s="11" t="e">
        <f t="shared" si="5"/>
        <v>#DIV/0!</v>
      </c>
      <c r="Y24" s="13" t="e">
        <f t="shared" si="6"/>
        <v>#DIV/0!</v>
      </c>
      <c r="Z24" s="11"/>
      <c r="AA24" s="11"/>
      <c r="AB24" s="11"/>
      <c r="AC24" s="11" t="e">
        <f t="shared" si="18"/>
        <v>#DIV/0!</v>
      </c>
    </row>
    <row r="25" spans="1:29" ht="16.5" x14ac:dyDescent="0.3">
      <c r="A25" s="8">
        <v>23</v>
      </c>
      <c r="B25" s="9" t="s">
        <v>56</v>
      </c>
      <c r="C25" s="9"/>
      <c r="D25" s="9"/>
      <c r="E25" s="8"/>
      <c r="F25" s="9"/>
      <c r="G25" s="9">
        <f t="shared" si="7"/>
        <v>31</v>
      </c>
      <c r="H25" s="9"/>
      <c r="I25" s="15" t="s">
        <v>44</v>
      </c>
      <c r="J25" s="15"/>
      <c r="K25" s="23"/>
      <c r="L25" s="11">
        <v>325</v>
      </c>
      <c r="M25" s="11" t="e">
        <f t="shared" si="23"/>
        <v>#DIV/0!</v>
      </c>
      <c r="N25" s="11"/>
      <c r="O25" s="11">
        <f t="shared" si="8"/>
        <v>0</v>
      </c>
      <c r="P25" s="11">
        <f t="shared" si="21"/>
        <v>0</v>
      </c>
      <c r="Q25" s="11">
        <f t="shared" si="22"/>
        <v>0</v>
      </c>
      <c r="R25" s="11">
        <f>(35+25+15)*F25</f>
        <v>0</v>
      </c>
      <c r="S25" s="11" t="e">
        <f t="shared" si="17"/>
        <v>#DIV/0!</v>
      </c>
      <c r="T25" s="11" t="e">
        <f t="shared" si="4"/>
        <v>#DIV/0!</v>
      </c>
      <c r="U25" s="11">
        <f t="shared" si="10"/>
        <v>0</v>
      </c>
      <c r="V25" s="12">
        <f t="shared" si="19"/>
        <v>0</v>
      </c>
      <c r="W25" s="12">
        <f t="shared" si="20"/>
        <v>0</v>
      </c>
      <c r="X25" s="11" t="e">
        <f t="shared" si="5"/>
        <v>#DIV/0!</v>
      </c>
      <c r="Y25" s="13" t="e">
        <f t="shared" si="6"/>
        <v>#DIV/0!</v>
      </c>
      <c r="Z25" s="11"/>
      <c r="AA25" s="11"/>
      <c r="AB25" s="11"/>
      <c r="AC25" s="11" t="e">
        <f t="shared" si="18"/>
        <v>#DIV/0!</v>
      </c>
    </row>
    <row r="26" spans="1:29" ht="16.5" x14ac:dyDescent="0.3">
      <c r="A26" s="8">
        <v>24</v>
      </c>
      <c r="B26" t="s">
        <v>57</v>
      </c>
      <c r="C26" s="9"/>
      <c r="D26" s="9"/>
      <c r="E26" s="8"/>
      <c r="F26" s="9"/>
      <c r="G26" s="9">
        <f t="shared" si="7"/>
        <v>31</v>
      </c>
      <c r="H26" s="9"/>
      <c r="I26" s="15" t="s">
        <v>46</v>
      </c>
      <c r="J26" s="15"/>
      <c r="K26" s="23"/>
      <c r="L26" s="11">
        <v>315</v>
      </c>
      <c r="M26" s="11" t="e">
        <f t="shared" si="23"/>
        <v>#DIV/0!</v>
      </c>
      <c r="N26" s="11"/>
      <c r="O26" s="11">
        <f t="shared" si="8"/>
        <v>0</v>
      </c>
      <c r="P26" s="11">
        <f t="shared" si="21"/>
        <v>0</v>
      </c>
      <c r="Q26" s="11">
        <f t="shared" si="22"/>
        <v>0</v>
      </c>
      <c r="R26" s="11">
        <f>(10+35+15)*F26</f>
        <v>0</v>
      </c>
      <c r="S26" s="11" t="e">
        <f t="shared" si="17"/>
        <v>#DIV/0!</v>
      </c>
      <c r="T26" s="11" t="e">
        <f t="shared" si="4"/>
        <v>#DIV/0!</v>
      </c>
      <c r="U26" s="11">
        <f t="shared" si="10"/>
        <v>0</v>
      </c>
      <c r="V26" s="12">
        <f t="shared" si="19"/>
        <v>0</v>
      </c>
      <c r="W26" s="12">
        <f t="shared" si="20"/>
        <v>0</v>
      </c>
      <c r="X26" s="11" t="e">
        <f t="shared" si="5"/>
        <v>#DIV/0!</v>
      </c>
      <c r="Y26" s="13" t="e">
        <f t="shared" si="6"/>
        <v>#DIV/0!</v>
      </c>
      <c r="Z26" s="11"/>
      <c r="AA26" s="11"/>
      <c r="AB26" s="11"/>
      <c r="AC26" s="11" t="e">
        <f t="shared" si="18"/>
        <v>#DIV/0!</v>
      </c>
    </row>
    <row r="27" spans="1:29" ht="16.5" x14ac:dyDescent="0.3">
      <c r="A27" s="8">
        <v>25</v>
      </c>
      <c r="B27" s="9" t="s">
        <v>58</v>
      </c>
      <c r="C27" s="9"/>
      <c r="D27" s="9"/>
      <c r="E27" s="8"/>
      <c r="F27" s="9"/>
      <c r="G27" s="9">
        <f t="shared" si="7"/>
        <v>31</v>
      </c>
      <c r="H27" s="9"/>
      <c r="I27" s="15" t="s">
        <v>46</v>
      </c>
      <c r="J27" s="15"/>
      <c r="K27" s="23"/>
      <c r="L27" s="11">
        <v>325</v>
      </c>
      <c r="M27" s="11" t="e">
        <f t="shared" si="23"/>
        <v>#DIV/0!</v>
      </c>
      <c r="N27" s="11"/>
      <c r="O27" s="11">
        <f t="shared" si="8"/>
        <v>0</v>
      </c>
      <c r="P27" s="11">
        <f t="shared" si="21"/>
        <v>0</v>
      </c>
      <c r="Q27" s="11">
        <f t="shared" si="22"/>
        <v>0</v>
      </c>
      <c r="R27" s="11">
        <f>(15+20+15)*F27</f>
        <v>0</v>
      </c>
      <c r="S27" s="11" t="e">
        <f t="shared" si="17"/>
        <v>#DIV/0!</v>
      </c>
      <c r="T27" s="11" t="e">
        <f t="shared" si="4"/>
        <v>#DIV/0!</v>
      </c>
      <c r="U27" s="11">
        <f t="shared" si="10"/>
        <v>0</v>
      </c>
      <c r="V27" s="12">
        <f t="shared" si="19"/>
        <v>0</v>
      </c>
      <c r="W27" s="12">
        <f t="shared" si="20"/>
        <v>0</v>
      </c>
      <c r="X27" s="11" t="e">
        <f t="shared" si="5"/>
        <v>#DIV/0!</v>
      </c>
      <c r="Y27" s="13" t="e">
        <f t="shared" si="6"/>
        <v>#DIV/0!</v>
      </c>
      <c r="Z27" s="11"/>
      <c r="AA27" s="11"/>
      <c r="AB27" s="11"/>
      <c r="AC27" s="11" t="e">
        <f t="shared" si="18"/>
        <v>#DIV/0!</v>
      </c>
    </row>
    <row r="28" spans="1:29" ht="16.5" x14ac:dyDescent="0.3">
      <c r="A28" s="8">
        <v>26</v>
      </c>
      <c r="B28" s="24" t="s">
        <v>59</v>
      </c>
      <c r="C28" s="9"/>
      <c r="D28" s="9"/>
      <c r="E28" s="8"/>
      <c r="F28" s="9"/>
      <c r="G28" s="9">
        <f t="shared" si="7"/>
        <v>31</v>
      </c>
      <c r="H28" s="9"/>
      <c r="I28" s="15" t="s">
        <v>46</v>
      </c>
      <c r="J28" s="15"/>
      <c r="K28" s="23"/>
      <c r="L28" s="11">
        <v>315</v>
      </c>
      <c r="M28" s="11" t="e">
        <f t="shared" si="23"/>
        <v>#DIV/0!</v>
      </c>
      <c r="N28" s="11"/>
      <c r="O28" s="11">
        <f t="shared" si="8"/>
        <v>0</v>
      </c>
      <c r="P28" s="11">
        <f t="shared" si="21"/>
        <v>0</v>
      </c>
      <c r="Q28" s="11">
        <f t="shared" si="22"/>
        <v>0</v>
      </c>
      <c r="R28" s="11">
        <f>(10+35+15)*F28</f>
        <v>0</v>
      </c>
      <c r="S28" s="11" t="e">
        <f t="shared" si="17"/>
        <v>#DIV/0!</v>
      </c>
      <c r="T28" s="11" t="e">
        <f t="shared" si="4"/>
        <v>#DIV/0!</v>
      </c>
      <c r="U28" s="11">
        <f t="shared" si="10"/>
        <v>0</v>
      </c>
      <c r="V28" s="12">
        <f t="shared" si="19"/>
        <v>0</v>
      </c>
      <c r="W28" s="12">
        <f t="shared" si="20"/>
        <v>0</v>
      </c>
      <c r="X28" s="11" t="e">
        <f t="shared" si="5"/>
        <v>#DIV/0!</v>
      </c>
      <c r="Y28" s="13" t="e">
        <f t="shared" si="6"/>
        <v>#DIV/0!</v>
      </c>
      <c r="Z28" s="11"/>
      <c r="AA28" s="11"/>
      <c r="AB28" s="11"/>
      <c r="AC28" s="11" t="e">
        <f t="shared" si="18"/>
        <v>#DIV/0!</v>
      </c>
    </row>
    <row r="29" spans="1:29" ht="16.5" x14ac:dyDescent="0.3">
      <c r="A29" s="8">
        <v>27</v>
      </c>
      <c r="B29" s="24" t="s">
        <v>60</v>
      </c>
      <c r="C29" s="9"/>
      <c r="D29" s="9"/>
      <c r="E29" s="8"/>
      <c r="F29" s="9"/>
      <c r="G29" s="9">
        <f t="shared" si="7"/>
        <v>31</v>
      </c>
      <c r="H29" s="9"/>
      <c r="I29" s="15" t="s">
        <v>46</v>
      </c>
      <c r="J29" s="15"/>
      <c r="K29" s="23"/>
      <c r="L29" s="11">
        <v>315</v>
      </c>
      <c r="M29" s="11" t="e">
        <f t="shared" si="23"/>
        <v>#DIV/0!</v>
      </c>
      <c r="N29" s="11"/>
      <c r="O29" s="11">
        <f t="shared" si="8"/>
        <v>0</v>
      </c>
      <c r="P29" s="11">
        <f t="shared" si="21"/>
        <v>0</v>
      </c>
      <c r="Q29" s="11">
        <f t="shared" si="22"/>
        <v>0</v>
      </c>
      <c r="R29" s="11">
        <f>(10+35+15)*F29</f>
        <v>0</v>
      </c>
      <c r="S29" s="11" t="e">
        <f t="shared" si="17"/>
        <v>#DIV/0!</v>
      </c>
      <c r="T29" s="11" t="e">
        <f t="shared" si="4"/>
        <v>#DIV/0!</v>
      </c>
      <c r="U29" s="11">
        <f t="shared" si="10"/>
        <v>0</v>
      </c>
      <c r="V29" s="12">
        <f t="shared" si="19"/>
        <v>0</v>
      </c>
      <c r="W29" s="12">
        <f t="shared" si="20"/>
        <v>0</v>
      </c>
      <c r="X29" s="11" t="e">
        <f t="shared" si="5"/>
        <v>#DIV/0!</v>
      </c>
      <c r="Y29" s="13" t="e">
        <f t="shared" si="6"/>
        <v>#DIV/0!</v>
      </c>
      <c r="Z29" s="25">
        <v>0</v>
      </c>
      <c r="AA29" s="11"/>
      <c r="AB29" s="11"/>
      <c r="AC29" s="11" t="e">
        <f t="shared" si="18"/>
        <v>#DIV/0!</v>
      </c>
    </row>
    <row r="30" spans="1:29" ht="16.5" x14ac:dyDescent="0.3">
      <c r="A30" s="8">
        <v>28</v>
      </c>
      <c r="B30" s="24" t="s">
        <v>61</v>
      </c>
      <c r="C30" s="9"/>
      <c r="D30" s="9"/>
      <c r="E30" s="8"/>
      <c r="F30" s="9"/>
      <c r="G30" s="9">
        <f t="shared" si="7"/>
        <v>31</v>
      </c>
      <c r="H30" s="9"/>
      <c r="I30" s="15" t="s">
        <v>44</v>
      </c>
      <c r="J30" s="15"/>
      <c r="K30" s="23"/>
      <c r="L30" s="11">
        <v>315</v>
      </c>
      <c r="M30" s="11" t="e">
        <f t="shared" si="23"/>
        <v>#DIV/0!</v>
      </c>
      <c r="N30" s="11"/>
      <c r="O30" s="11">
        <f t="shared" si="8"/>
        <v>0</v>
      </c>
      <c r="P30" s="11">
        <f t="shared" si="21"/>
        <v>0</v>
      </c>
      <c r="Q30" s="11">
        <f t="shared" si="22"/>
        <v>0</v>
      </c>
      <c r="R30" s="11">
        <f>(25+45+15)*F30</f>
        <v>0</v>
      </c>
      <c r="S30" s="11" t="e">
        <f t="shared" si="17"/>
        <v>#DIV/0!</v>
      </c>
      <c r="T30" s="11" t="e">
        <f t="shared" si="4"/>
        <v>#DIV/0!</v>
      </c>
      <c r="U30" s="11">
        <f t="shared" si="10"/>
        <v>0</v>
      </c>
      <c r="V30" s="12">
        <f t="shared" si="19"/>
        <v>0</v>
      </c>
      <c r="W30" s="12">
        <f t="shared" si="20"/>
        <v>0</v>
      </c>
      <c r="X30" s="11" t="e">
        <f t="shared" si="5"/>
        <v>#DIV/0!</v>
      </c>
      <c r="Y30" s="13" t="e">
        <f t="shared" si="6"/>
        <v>#DIV/0!</v>
      </c>
      <c r="Z30" s="11"/>
      <c r="AA30" s="11"/>
      <c r="AB30" s="11"/>
      <c r="AC30" s="11" t="e">
        <f t="shared" si="18"/>
        <v>#DIV/0!</v>
      </c>
    </row>
    <row r="31" spans="1:29" ht="16.5" x14ac:dyDescent="0.3">
      <c r="A31" s="26">
        <v>29</v>
      </c>
      <c r="B31" s="24" t="s">
        <v>62</v>
      </c>
      <c r="C31" s="27"/>
      <c r="D31" s="9"/>
      <c r="E31" s="8"/>
      <c r="F31" s="9"/>
      <c r="G31" s="9">
        <f t="shared" si="7"/>
        <v>31</v>
      </c>
      <c r="H31" s="9"/>
      <c r="I31" s="15"/>
      <c r="J31" s="15"/>
      <c r="K31" s="23"/>
      <c r="L31" s="11">
        <v>315</v>
      </c>
      <c r="M31" s="11" t="e">
        <f t="shared" si="23"/>
        <v>#DIV/0!</v>
      </c>
      <c r="N31" s="11"/>
      <c r="O31" s="11">
        <f t="shared" si="8"/>
        <v>0</v>
      </c>
      <c r="P31" s="11">
        <f>O31*0.6</f>
        <v>0</v>
      </c>
      <c r="Q31" s="11">
        <f>(O31)*0.4</f>
        <v>0</v>
      </c>
      <c r="R31" s="11">
        <f>(35)*F31</f>
        <v>0</v>
      </c>
      <c r="S31" s="11" t="e">
        <f t="shared" si="17"/>
        <v>#DIV/0!</v>
      </c>
      <c r="T31" s="11" t="e">
        <f t="shared" si="4"/>
        <v>#DIV/0!</v>
      </c>
      <c r="U31" s="11">
        <f t="shared" si="10"/>
        <v>0</v>
      </c>
      <c r="V31" s="12">
        <f t="shared" si="19"/>
        <v>0</v>
      </c>
      <c r="W31" s="12">
        <f t="shared" si="20"/>
        <v>0</v>
      </c>
      <c r="X31" s="11" t="e">
        <f t="shared" si="5"/>
        <v>#DIV/0!</v>
      </c>
      <c r="Y31" s="13" t="e">
        <f t="shared" si="6"/>
        <v>#DIV/0!</v>
      </c>
      <c r="Z31" s="11"/>
      <c r="AA31" s="11"/>
      <c r="AB31" s="11"/>
      <c r="AC31" s="11" t="e">
        <f t="shared" si="18"/>
        <v>#DIV/0!</v>
      </c>
    </row>
    <row r="32" spans="1:29" ht="16.5" x14ac:dyDescent="0.3">
      <c r="A32" s="26">
        <v>30</v>
      </c>
      <c r="B32" s="24" t="s">
        <v>63</v>
      </c>
      <c r="C32" s="27"/>
      <c r="D32" s="9"/>
      <c r="E32" s="8"/>
      <c r="F32" s="9"/>
      <c r="G32" s="9">
        <f t="shared" si="7"/>
        <v>31</v>
      </c>
      <c r="H32" s="9"/>
      <c r="I32" s="15"/>
      <c r="J32" s="15"/>
      <c r="K32" s="23"/>
      <c r="L32" s="11">
        <v>315</v>
      </c>
      <c r="M32" s="11" t="e">
        <f t="shared" si="23"/>
        <v>#DIV/0!</v>
      </c>
      <c r="N32" s="11"/>
      <c r="O32" s="11">
        <f t="shared" si="8"/>
        <v>0</v>
      </c>
      <c r="P32" s="11">
        <f>O32*0.6</f>
        <v>0</v>
      </c>
      <c r="Q32" s="11">
        <f>(O32)*0.4</f>
        <v>0</v>
      </c>
      <c r="R32" s="11">
        <f>(35)*F32</f>
        <v>0</v>
      </c>
      <c r="S32" s="11" t="e">
        <f t="shared" si="17"/>
        <v>#DIV/0!</v>
      </c>
      <c r="T32" s="11" t="e">
        <f t="shared" si="4"/>
        <v>#DIV/0!</v>
      </c>
      <c r="U32" s="11">
        <f t="shared" si="10"/>
        <v>0</v>
      </c>
      <c r="V32" s="12">
        <f t="shared" si="19"/>
        <v>0</v>
      </c>
      <c r="W32" s="12">
        <f t="shared" si="20"/>
        <v>0</v>
      </c>
      <c r="X32" s="11" t="e">
        <f t="shared" si="5"/>
        <v>#DIV/0!</v>
      </c>
      <c r="Y32" s="13" t="e">
        <f t="shared" si="6"/>
        <v>#DIV/0!</v>
      </c>
      <c r="Z32" s="16"/>
      <c r="AA32" s="11"/>
      <c r="AB32" s="11"/>
      <c r="AC32" s="11" t="e">
        <f t="shared" si="18"/>
        <v>#DIV/0!</v>
      </c>
    </row>
    <row r="33" spans="1:29" ht="16.5" x14ac:dyDescent="0.3">
      <c r="A33" s="26">
        <v>31</v>
      </c>
      <c r="B33" s="24" t="s">
        <v>64</v>
      </c>
      <c r="C33" s="27"/>
      <c r="D33" s="9"/>
      <c r="E33" s="8"/>
      <c r="F33" s="9"/>
      <c r="G33" s="9">
        <f t="shared" si="7"/>
        <v>31</v>
      </c>
      <c r="H33" s="9"/>
      <c r="I33" s="15"/>
      <c r="J33" s="15"/>
      <c r="K33" s="23"/>
      <c r="L33" s="11">
        <v>320</v>
      </c>
      <c r="M33" s="11" t="e">
        <f t="shared" si="23"/>
        <v>#DIV/0!</v>
      </c>
      <c r="N33" s="11"/>
      <c r="O33" s="11">
        <f t="shared" si="8"/>
        <v>0</v>
      </c>
      <c r="P33" s="11">
        <f t="shared" ref="P33:P34" si="24">O33*0.7</f>
        <v>0</v>
      </c>
      <c r="Q33" s="11">
        <f t="shared" ref="Q33:Q34" si="25">O33*0.3</f>
        <v>0</v>
      </c>
      <c r="R33" s="11">
        <f>(15)*F33</f>
        <v>0</v>
      </c>
      <c r="S33" s="11" t="e">
        <f t="shared" si="17"/>
        <v>#DIV/0!</v>
      </c>
      <c r="T33" s="11" t="e">
        <f t="shared" si="4"/>
        <v>#DIV/0!</v>
      </c>
      <c r="U33" s="11">
        <f t="shared" si="10"/>
        <v>0</v>
      </c>
      <c r="V33" s="12">
        <f t="shared" si="19"/>
        <v>0</v>
      </c>
      <c r="W33" s="12">
        <f t="shared" si="20"/>
        <v>0</v>
      </c>
      <c r="X33" s="11" t="e">
        <f t="shared" si="5"/>
        <v>#DIV/0!</v>
      </c>
      <c r="Y33" s="13" t="e">
        <f t="shared" si="6"/>
        <v>#DIV/0!</v>
      </c>
      <c r="Z33" s="11"/>
      <c r="AA33" s="11"/>
      <c r="AB33" s="11"/>
      <c r="AC33" s="11" t="e">
        <f t="shared" si="18"/>
        <v>#DIV/0!</v>
      </c>
    </row>
    <row r="34" spans="1:29" ht="16.5" x14ac:dyDescent="0.3">
      <c r="A34" s="26">
        <v>32</v>
      </c>
      <c r="B34" s="24" t="s">
        <v>65</v>
      </c>
      <c r="C34" s="27"/>
      <c r="D34" s="9"/>
      <c r="E34" s="8"/>
      <c r="F34" s="9"/>
      <c r="G34" s="9">
        <f t="shared" si="7"/>
        <v>31</v>
      </c>
      <c r="H34" s="9"/>
      <c r="I34" s="15"/>
      <c r="J34" s="15"/>
      <c r="K34" s="23"/>
      <c r="L34" s="11">
        <v>320</v>
      </c>
      <c r="M34" s="11" t="e">
        <f t="shared" si="23"/>
        <v>#DIV/0!</v>
      </c>
      <c r="N34" s="11"/>
      <c r="O34" s="11">
        <f t="shared" si="8"/>
        <v>0</v>
      </c>
      <c r="P34" s="11">
        <f t="shared" si="24"/>
        <v>0</v>
      </c>
      <c r="Q34" s="11">
        <f t="shared" si="25"/>
        <v>0</v>
      </c>
      <c r="R34" s="11">
        <f>(20+15)*F34</f>
        <v>0</v>
      </c>
      <c r="S34" s="11" t="e">
        <f t="shared" si="17"/>
        <v>#DIV/0!</v>
      </c>
      <c r="T34" s="11" t="e">
        <f t="shared" si="4"/>
        <v>#DIV/0!</v>
      </c>
      <c r="U34" s="11">
        <f t="shared" si="10"/>
        <v>0</v>
      </c>
      <c r="V34" s="12">
        <f t="shared" si="19"/>
        <v>0</v>
      </c>
      <c r="W34" s="12">
        <f t="shared" si="20"/>
        <v>0</v>
      </c>
      <c r="X34" s="11" t="e">
        <f t="shared" si="5"/>
        <v>#DIV/0!</v>
      </c>
      <c r="Y34" s="13" t="e">
        <f t="shared" si="6"/>
        <v>#DIV/0!</v>
      </c>
      <c r="Z34" s="11"/>
      <c r="AA34" s="11"/>
      <c r="AB34" s="11"/>
      <c r="AC34" s="11" t="e">
        <f t="shared" si="18"/>
        <v>#DIV/0!</v>
      </c>
    </row>
    <row r="35" spans="1:29" s="49" customFormat="1" ht="16.5" hidden="1" x14ac:dyDescent="0.3">
      <c r="A35" s="39">
        <v>33</v>
      </c>
      <c r="B35" s="40" t="s">
        <v>66</v>
      </c>
      <c r="C35" s="41"/>
      <c r="D35" s="42"/>
      <c r="E35" s="43"/>
      <c r="F35" s="42"/>
      <c r="G35" s="9">
        <f t="shared" si="7"/>
        <v>31</v>
      </c>
      <c r="H35" s="42"/>
      <c r="I35" s="44"/>
      <c r="J35" s="44"/>
      <c r="K35" s="45"/>
      <c r="L35" s="46">
        <v>320</v>
      </c>
      <c r="M35" s="46">
        <v>20</v>
      </c>
      <c r="N35" s="46"/>
      <c r="O35" s="46">
        <f t="shared" si="8"/>
        <v>0</v>
      </c>
      <c r="P35" s="46">
        <f t="shared" si="21"/>
        <v>0</v>
      </c>
      <c r="Q35" s="46">
        <f t="shared" si="22"/>
        <v>0</v>
      </c>
      <c r="R35" s="46">
        <f>(20)*F35</f>
        <v>0</v>
      </c>
      <c r="S35" s="46">
        <f t="shared" si="17"/>
        <v>0</v>
      </c>
      <c r="T35" s="46">
        <f t="shared" si="4"/>
        <v>0</v>
      </c>
      <c r="U35" s="46">
        <f t="shared" si="10"/>
        <v>0</v>
      </c>
      <c r="V35" s="47">
        <f t="shared" si="19"/>
        <v>0</v>
      </c>
      <c r="W35" s="12">
        <f t="shared" si="20"/>
        <v>0</v>
      </c>
      <c r="X35" s="46">
        <f t="shared" si="5"/>
        <v>0</v>
      </c>
      <c r="Y35" s="48" t="b">
        <f t="shared" si="6"/>
        <v>0</v>
      </c>
      <c r="Z35" s="46"/>
      <c r="AA35" s="46"/>
      <c r="AB35" s="46"/>
      <c r="AC35" s="11">
        <f t="shared" si="18"/>
        <v>0</v>
      </c>
    </row>
    <row r="36" spans="1:29" ht="15.75" x14ac:dyDescent="0.3">
      <c r="A36" s="8">
        <v>33</v>
      </c>
      <c r="B36" s="65" t="s">
        <v>67</v>
      </c>
      <c r="C36" s="66"/>
      <c r="D36" s="10"/>
      <c r="E36" s="9"/>
      <c r="F36" s="9"/>
      <c r="G36" s="9">
        <f t="shared" si="7"/>
        <v>31</v>
      </c>
      <c r="H36" s="9"/>
      <c r="I36" s="9"/>
      <c r="J36" s="11">
        <v>60000</v>
      </c>
      <c r="K36" s="11">
        <v>60000</v>
      </c>
      <c r="L36" s="11">
        <f>K36/$F$45</f>
        <v>1935.483870967742</v>
      </c>
      <c r="M36" s="11">
        <v>0</v>
      </c>
      <c r="N36" s="11"/>
      <c r="O36" s="11">
        <f t="shared" si="8"/>
        <v>0</v>
      </c>
      <c r="P36" s="11">
        <f t="shared" ref="P36:P39" si="26">O36*1</f>
        <v>0</v>
      </c>
      <c r="Q36" s="11">
        <v>0</v>
      </c>
      <c r="R36" s="11">
        <v>0</v>
      </c>
      <c r="S36" s="11">
        <f t="shared" si="17"/>
        <v>0</v>
      </c>
      <c r="T36" s="11">
        <f t="shared" si="4"/>
        <v>0</v>
      </c>
      <c r="U36" s="11">
        <v>0</v>
      </c>
      <c r="V36" s="12">
        <f t="shared" si="19"/>
        <v>0</v>
      </c>
      <c r="W36" s="12">
        <f t="shared" si="20"/>
        <v>0</v>
      </c>
      <c r="X36" s="11">
        <f t="shared" si="5"/>
        <v>0</v>
      </c>
      <c r="Y36" s="13" t="b">
        <f t="shared" si="6"/>
        <v>0</v>
      </c>
      <c r="Z36" s="11"/>
      <c r="AA36" s="11"/>
      <c r="AB36" s="11"/>
      <c r="AC36" s="11">
        <f>X36-Y36</f>
        <v>0</v>
      </c>
    </row>
    <row r="37" spans="1:29" ht="15.75" x14ac:dyDescent="0.3">
      <c r="A37" s="8">
        <v>34</v>
      </c>
      <c r="B37" s="10" t="s">
        <v>74</v>
      </c>
      <c r="C37" s="10"/>
      <c r="D37" s="10"/>
      <c r="E37" s="9"/>
      <c r="F37" s="9"/>
      <c r="G37" s="9">
        <f t="shared" si="7"/>
        <v>31</v>
      </c>
      <c r="H37" s="9"/>
      <c r="I37" s="9"/>
      <c r="J37" s="11">
        <v>25000</v>
      </c>
      <c r="K37" s="11">
        <v>25000</v>
      </c>
      <c r="L37" s="11">
        <f t="shared" ref="L37:L39" si="27">K37/$F$45</f>
        <v>806.45161290322585</v>
      </c>
      <c r="M37" s="11">
        <v>0</v>
      </c>
      <c r="N37" s="11"/>
      <c r="O37" s="11">
        <f t="shared" si="8"/>
        <v>0</v>
      </c>
      <c r="P37" s="11">
        <f t="shared" si="26"/>
        <v>0</v>
      </c>
      <c r="Q37" s="11">
        <v>0</v>
      </c>
      <c r="R37" s="11">
        <v>0</v>
      </c>
      <c r="S37" s="11">
        <f t="shared" si="17"/>
        <v>0</v>
      </c>
      <c r="T37" s="11">
        <f t="shared" si="4"/>
        <v>0</v>
      </c>
      <c r="U37" s="11">
        <v>0</v>
      </c>
      <c r="V37" s="12">
        <f t="shared" si="19"/>
        <v>0</v>
      </c>
      <c r="W37" s="12">
        <f t="shared" si="20"/>
        <v>0</v>
      </c>
      <c r="X37" s="11">
        <f t="shared" si="5"/>
        <v>0</v>
      </c>
      <c r="Y37" s="13" t="b">
        <f t="shared" si="6"/>
        <v>0</v>
      </c>
      <c r="Z37" s="11"/>
      <c r="AA37" s="11"/>
      <c r="AB37" s="11"/>
      <c r="AC37" s="11">
        <f>X37-Y37</f>
        <v>0</v>
      </c>
    </row>
    <row r="38" spans="1:29" ht="15.75" x14ac:dyDescent="0.3">
      <c r="A38" s="8">
        <v>34</v>
      </c>
      <c r="B38" s="10" t="s">
        <v>68</v>
      </c>
      <c r="C38" s="10"/>
      <c r="D38" s="10"/>
      <c r="E38" s="9"/>
      <c r="F38" s="9"/>
      <c r="G38" s="9">
        <f t="shared" si="7"/>
        <v>31</v>
      </c>
      <c r="H38" s="9"/>
      <c r="I38" s="9"/>
      <c r="J38" s="11">
        <v>21500</v>
      </c>
      <c r="K38" s="11">
        <v>21500</v>
      </c>
      <c r="L38" s="11">
        <f t="shared" si="27"/>
        <v>693.54838709677415</v>
      </c>
      <c r="M38" s="11">
        <v>0</v>
      </c>
      <c r="N38" s="11"/>
      <c r="O38" s="11">
        <f t="shared" si="8"/>
        <v>0</v>
      </c>
      <c r="P38" s="11">
        <f t="shared" si="26"/>
        <v>0</v>
      </c>
      <c r="Q38" s="11">
        <v>0</v>
      </c>
      <c r="R38" s="11">
        <v>0</v>
      </c>
      <c r="S38" s="11">
        <f t="shared" si="17"/>
        <v>0</v>
      </c>
      <c r="T38" s="11">
        <f t="shared" si="4"/>
        <v>0</v>
      </c>
      <c r="U38" s="11">
        <v>0</v>
      </c>
      <c r="V38" s="12">
        <f t="shared" si="19"/>
        <v>0</v>
      </c>
      <c r="W38" s="12">
        <f t="shared" si="20"/>
        <v>0</v>
      </c>
      <c r="X38" s="11">
        <f t="shared" si="5"/>
        <v>0</v>
      </c>
      <c r="Y38" s="13" t="b">
        <f t="shared" si="6"/>
        <v>0</v>
      </c>
      <c r="Z38" s="11"/>
      <c r="AA38" s="11"/>
      <c r="AB38" s="11"/>
      <c r="AC38" s="11">
        <f>X38-Y38</f>
        <v>0</v>
      </c>
    </row>
    <row r="39" spans="1:29" ht="15.75" x14ac:dyDescent="0.3">
      <c r="A39" s="8">
        <v>35</v>
      </c>
      <c r="B39" s="10" t="s">
        <v>69</v>
      </c>
      <c r="C39" s="10"/>
      <c r="D39" s="10"/>
      <c r="E39" s="9"/>
      <c r="F39" s="9"/>
      <c r="G39" s="9">
        <f t="shared" si="7"/>
        <v>31</v>
      </c>
      <c r="H39" s="9"/>
      <c r="I39" s="9"/>
      <c r="J39" s="11">
        <v>100000</v>
      </c>
      <c r="K39" s="11">
        <v>100000</v>
      </c>
      <c r="L39" s="11">
        <f t="shared" si="27"/>
        <v>3225.8064516129034</v>
      </c>
      <c r="M39" s="11">
        <v>0</v>
      </c>
      <c r="N39" s="11"/>
      <c r="O39" s="11">
        <f t="shared" si="8"/>
        <v>0</v>
      </c>
      <c r="P39" s="11">
        <f t="shared" si="26"/>
        <v>0</v>
      </c>
      <c r="Q39" s="11">
        <v>0</v>
      </c>
      <c r="R39" s="11">
        <v>0</v>
      </c>
      <c r="S39" s="11">
        <f t="shared" si="17"/>
        <v>0</v>
      </c>
      <c r="T39" s="11">
        <f t="shared" si="4"/>
        <v>0</v>
      </c>
      <c r="U39" s="11">
        <v>0</v>
      </c>
      <c r="V39" s="12">
        <v>0</v>
      </c>
      <c r="W39" s="12">
        <f t="shared" si="20"/>
        <v>0</v>
      </c>
      <c r="X39" s="11">
        <f t="shared" si="5"/>
        <v>0</v>
      </c>
      <c r="Y39" s="13"/>
      <c r="Z39" s="11"/>
      <c r="AA39" s="11"/>
      <c r="AB39" s="11">
        <v>20000</v>
      </c>
      <c r="AC39" s="11">
        <f>X39-AB39</f>
        <v>-20000</v>
      </c>
    </row>
    <row r="40" spans="1:29" ht="16.5" x14ac:dyDescent="0.3">
      <c r="A40" s="28" t="s">
        <v>70</v>
      </c>
      <c r="B40" s="28"/>
      <c r="C40" s="28"/>
      <c r="D40" s="28"/>
      <c r="E40" s="29"/>
      <c r="F40" s="28">
        <f>SUM(F3:F39)</f>
        <v>0</v>
      </c>
      <c r="G40" s="9">
        <f>SUM(G3:G39)</f>
        <v>1147</v>
      </c>
      <c r="H40" s="9">
        <f>SUM(H3:H39)</f>
        <v>0</v>
      </c>
      <c r="I40" s="15"/>
      <c r="J40" s="15"/>
      <c r="K40" s="30"/>
      <c r="L40" s="31"/>
      <c r="M40" s="31"/>
      <c r="N40" s="31"/>
      <c r="O40" s="32">
        <f t="shared" ref="O40:Z40" si="28">SUM(O3:O39)</f>
        <v>0</v>
      </c>
      <c r="P40" s="32">
        <f t="shared" si="28"/>
        <v>0</v>
      </c>
      <c r="Q40" s="32">
        <f t="shared" si="28"/>
        <v>0</v>
      </c>
      <c r="R40" s="32">
        <f t="shared" si="28"/>
        <v>0</v>
      </c>
      <c r="S40" s="32" t="e">
        <f t="shared" si="28"/>
        <v>#DIV/0!</v>
      </c>
      <c r="T40" s="32" t="e">
        <f t="shared" si="28"/>
        <v>#DIV/0!</v>
      </c>
      <c r="U40" s="32">
        <f t="shared" si="28"/>
        <v>0</v>
      </c>
      <c r="V40" s="32">
        <f t="shared" si="28"/>
        <v>0</v>
      </c>
      <c r="W40" s="32">
        <f t="shared" si="28"/>
        <v>178</v>
      </c>
      <c r="X40" s="32" t="e">
        <f t="shared" si="28"/>
        <v>#DIV/0!</v>
      </c>
      <c r="Y40" s="32" t="e">
        <f t="shared" si="28"/>
        <v>#DIV/0!</v>
      </c>
      <c r="Z40" s="32">
        <f t="shared" si="28"/>
        <v>0</v>
      </c>
      <c r="AA40" s="32">
        <f>SUM(AA3:AA30)</f>
        <v>0</v>
      </c>
      <c r="AB40" s="32">
        <f>SUM(AB3:AB39)</f>
        <v>20000</v>
      </c>
      <c r="AC40" s="32" t="e">
        <f>SUM(AC3:AC39)</f>
        <v>#DIV/0!</v>
      </c>
    </row>
    <row r="41" spans="1:29" ht="15.75" x14ac:dyDescent="0.3">
      <c r="A41" s="33"/>
      <c r="B41" s="34"/>
      <c r="C41" s="34"/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5"/>
      <c r="Q41" s="33"/>
      <c r="R41" s="33"/>
      <c r="S41" s="33"/>
      <c r="T41" s="33"/>
      <c r="U41" s="33"/>
      <c r="V41" s="33"/>
      <c r="W41" s="33"/>
      <c r="X41" s="33"/>
      <c r="Y41" s="36"/>
      <c r="Z41" s="33"/>
      <c r="AA41" s="33"/>
      <c r="AB41" s="33"/>
      <c r="AC41" s="35" t="s">
        <v>70</v>
      </c>
    </row>
    <row r="43" spans="1:29" x14ac:dyDescent="0.25">
      <c r="B43" t="s">
        <v>75</v>
      </c>
    </row>
    <row r="44" spans="1:29" x14ac:dyDescent="0.25">
      <c r="B44" t="s">
        <v>76</v>
      </c>
    </row>
    <row r="45" spans="1:29" x14ac:dyDescent="0.25">
      <c r="B45" t="s">
        <v>77</v>
      </c>
      <c r="F45">
        <v>31</v>
      </c>
    </row>
  </sheetData>
  <mergeCells count="2">
    <mergeCell ref="A1:AC1"/>
    <mergeCell ref="B36:C36"/>
  </mergeCells>
  <pageMargins left="0.25" right="0.25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ACTUALL</vt:lpstr>
      <vt:lpstr>ACTUALL (2)</vt:lpstr>
      <vt:lpstr>ACTUALL (3)</vt:lpstr>
      <vt:lpstr>ACTUALL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2026-07-06T06:41:16Z</cp:lastPrinted>
  <dcterms:created xsi:type="dcterms:W3CDTF">2026-04-30T07:14:59Z</dcterms:created>
  <dcterms:modified xsi:type="dcterms:W3CDTF">2026-07-28T09:41:24Z</dcterms:modified>
</cp:coreProperties>
</file>